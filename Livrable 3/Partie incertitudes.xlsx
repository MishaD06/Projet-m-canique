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jcott\Downloads\"/>
    </mc:Choice>
  </mc:AlternateContent>
  <xr:revisionPtr revIDLastSave="0" documentId="13_ncr:1_{3ED7050B-A83D-4FD5-9DFF-16832F968C8A}" xr6:coauthVersionLast="47" xr6:coauthVersionMax="47" xr10:uidLastSave="{00000000-0000-0000-0000-000000000000}"/>
  <bookViews>
    <workbookView xWindow="-98" yWindow="-98" windowWidth="21795" windowHeight="11625" activeTab="5" xr2:uid="{00000000-000D-0000-FFFF-FFFF00000000}"/>
  </bookViews>
  <sheets>
    <sheet name="Voiture 1" sheetId="2" r:id="rId1"/>
    <sheet name="Voiture 2" sheetId="3" r:id="rId2"/>
    <sheet name="Voiture 3" sheetId="4" r:id="rId3"/>
    <sheet name="Voiture 4" sheetId="5" r:id="rId4"/>
    <sheet name="Voiture 5" sheetId="6" r:id="rId5"/>
    <sheet name="Voiture 6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7" l="1"/>
  <c r="G15" i="7"/>
  <c r="G13" i="7"/>
  <c r="G12" i="7"/>
  <c r="G10" i="7"/>
  <c r="G9" i="7"/>
  <c r="G7" i="7"/>
  <c r="G6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2" i="7"/>
  <c r="G4" i="7"/>
  <c r="G3" i="7"/>
  <c r="G16" i="6"/>
  <c r="G15" i="6"/>
  <c r="G13" i="6"/>
  <c r="G12" i="6"/>
  <c r="G10" i="6"/>
  <c r="G9" i="6"/>
  <c r="G7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2" i="6"/>
  <c r="G6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2" i="6"/>
  <c r="C2" i="4"/>
  <c r="C2" i="5"/>
  <c r="G4" i="6"/>
  <c r="G3" i="6"/>
  <c r="G16" i="5"/>
  <c r="G15" i="5"/>
  <c r="G13" i="5"/>
  <c r="G12" i="5"/>
  <c r="G10" i="5"/>
  <c r="G9" i="5"/>
  <c r="G7" i="5"/>
  <c r="G6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G4" i="5"/>
  <c r="G3" i="5"/>
  <c r="G16" i="4"/>
  <c r="G13" i="4"/>
  <c r="G10" i="4"/>
  <c r="G9" i="4"/>
  <c r="G7" i="4"/>
  <c r="G6" i="4"/>
  <c r="G12" i="4" s="1"/>
  <c r="G15" i="4" s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G4" i="4"/>
  <c r="G3" i="4"/>
  <c r="G15" i="3"/>
  <c r="G16" i="3"/>
  <c r="G13" i="3"/>
  <c r="G12" i="3"/>
  <c r="G10" i="3"/>
  <c r="G9" i="3"/>
  <c r="G7" i="3"/>
  <c r="G6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2" i="3"/>
  <c r="G4" i="3"/>
  <c r="G3" i="3"/>
  <c r="G19" i="2"/>
  <c r="G18" i="2"/>
  <c r="G16" i="2"/>
  <c r="G15" i="2"/>
  <c r="G13" i="2"/>
  <c r="G12" i="2"/>
  <c r="G1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2" i="2"/>
  <c r="G9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2" i="2"/>
  <c r="G3" i="2"/>
  <c r="G2" i="2"/>
</calcChain>
</file>

<file path=xl/sharedStrings.xml><?xml version="1.0" encoding="utf-8"?>
<sst xmlns="http://schemas.openxmlformats.org/spreadsheetml/2006/main" count="78" uniqueCount="30">
  <si>
    <t>Mesure vitesse fin pente (m/s)</t>
  </si>
  <si>
    <t>Mesure vitesse fin looping (m/s)</t>
  </si>
  <si>
    <t>Moyenne pente</t>
  </si>
  <si>
    <t>Moyenne looping</t>
  </si>
  <si>
    <t>Ecart Type Pente</t>
  </si>
  <si>
    <t xml:space="preserve">N = </t>
  </si>
  <si>
    <t>Ecart Type looping</t>
  </si>
  <si>
    <t>Urep (V pente)</t>
  </si>
  <si>
    <t xml:space="preserve">Urep (V looping) </t>
  </si>
  <si>
    <t>Ures (Vpente)</t>
  </si>
  <si>
    <t>Ures (V looping)</t>
  </si>
  <si>
    <t>Uc (V pente)</t>
  </si>
  <si>
    <t>Uc (V looping)</t>
  </si>
  <si>
    <t>Moyenne Pente</t>
  </si>
  <si>
    <t>Moyenne Looping</t>
  </si>
  <si>
    <t>N=</t>
  </si>
  <si>
    <t xml:space="preserve">N= </t>
  </si>
  <si>
    <t>Ecart type (Pente)</t>
  </si>
  <si>
    <t>Ecart type (looping)</t>
  </si>
  <si>
    <t>Ures (pente)</t>
  </si>
  <si>
    <t>Ures (looping)</t>
  </si>
  <si>
    <t>Urep (pente)</t>
  </si>
  <si>
    <t>Urep (looping)</t>
  </si>
  <si>
    <t>Uc (pente)</t>
  </si>
  <si>
    <t>Uc (looping)</t>
  </si>
  <si>
    <t>Ecart type (pente)</t>
  </si>
  <si>
    <t>Uc  (looping)</t>
  </si>
  <si>
    <t>Moyenne (pente)</t>
  </si>
  <si>
    <t>Moyenne (looping)</t>
  </si>
  <si>
    <t>Ecart Type (pente)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</si>
</sst>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zoomScale="92" workbookViewId="0">
      <selection activeCell="J6" sqref="J6"/>
    </sheetView>
  </sheetViews>
  <sheetFormatPr baseColWidth="10" defaultRowHeight="14.25" x14ac:dyDescent="0.45"/>
  <cols>
    <col min="1" max="1" width="25.6640625" bestFit="1" customWidth="1"/>
    <col min="2" max="2" width="27.1328125" bestFit="1" customWidth="1"/>
    <col min="6" max="6" width="15.53125" customWidth="1"/>
    <col min="8" max="8" width="6.1328125" customWidth="1"/>
  </cols>
  <sheetData>
    <row r="1" spans="1:9" x14ac:dyDescent="0.45">
      <c r="A1" t="s">
        <v>0</v>
      </c>
      <c r="B1" t="s">
        <v>1</v>
      </c>
    </row>
    <row r="2" spans="1:9" x14ac:dyDescent="0.45">
      <c r="A2" s="1">
        <v>17.5</v>
      </c>
      <c r="B2">
        <v>19</v>
      </c>
      <c r="C2" s="1">
        <f>(A2-$G$2)^2</f>
        <v>0.20070400000000035</v>
      </c>
      <c r="D2">
        <f>(B2-$G$3)^2</f>
        <v>1.1750559999999992</v>
      </c>
      <c r="F2" t="s">
        <v>2</v>
      </c>
      <c r="G2">
        <f>AVERAGE(A:A)</f>
        <v>17.948</v>
      </c>
      <c r="H2" t="s">
        <v>5</v>
      </c>
      <c r="I2">
        <v>50</v>
      </c>
    </row>
    <row r="3" spans="1:9" x14ac:dyDescent="0.45">
      <c r="A3" s="1">
        <v>17.899999999999999</v>
      </c>
      <c r="B3">
        <v>20.8</v>
      </c>
      <c r="C3" s="1">
        <f t="shared" ref="C3:C51" si="0">(A3-$G$2)^2</f>
        <v>2.3040000000001748E-3</v>
      </c>
      <c r="D3">
        <f t="shared" ref="D3:D51" si="1">(B3-$G$3)^2</f>
        <v>0.51265600000000155</v>
      </c>
      <c r="F3" t="s">
        <v>3</v>
      </c>
      <c r="G3">
        <f>AVERAGE(B:B)</f>
        <v>20.084</v>
      </c>
    </row>
    <row r="4" spans="1:9" x14ac:dyDescent="0.45">
      <c r="A4" s="1">
        <v>17.2</v>
      </c>
      <c r="B4">
        <v>19.3</v>
      </c>
      <c r="C4" s="1">
        <f t="shared" si="0"/>
        <v>0.55950400000000167</v>
      </c>
      <c r="D4">
        <f t="shared" si="1"/>
        <v>0.61465599999999831</v>
      </c>
    </row>
    <row r="5" spans="1:9" x14ac:dyDescent="0.45">
      <c r="A5" s="1">
        <v>17.8</v>
      </c>
      <c r="B5">
        <v>20.100000000000001</v>
      </c>
      <c r="C5" s="1">
        <f t="shared" si="0"/>
        <v>2.1903999999999906E-2</v>
      </c>
      <c r="D5">
        <f t="shared" si="1"/>
        <v>2.5600000000005729E-4</v>
      </c>
    </row>
    <row r="6" spans="1:9" x14ac:dyDescent="0.45">
      <c r="A6" s="1">
        <v>17.5</v>
      </c>
      <c r="B6">
        <v>20.3</v>
      </c>
      <c r="C6" s="1">
        <f t="shared" si="0"/>
        <v>0.20070400000000035</v>
      </c>
      <c r="D6">
        <f t="shared" si="1"/>
        <v>4.6656000000000468E-2</v>
      </c>
    </row>
    <row r="7" spans="1:9" x14ac:dyDescent="0.45">
      <c r="A7" s="1">
        <v>18</v>
      </c>
      <c r="B7">
        <v>20.8</v>
      </c>
      <c r="C7" s="1">
        <f t="shared" si="0"/>
        <v>2.7039999999999586E-3</v>
      </c>
      <c r="D7">
        <f t="shared" si="1"/>
        <v>0.51265600000000155</v>
      </c>
    </row>
    <row r="8" spans="1:9" x14ac:dyDescent="0.45">
      <c r="A8" s="1">
        <v>17.3</v>
      </c>
      <c r="B8">
        <v>19.100000000000001</v>
      </c>
      <c r="C8" s="1">
        <f t="shared" si="0"/>
        <v>0.41990399999999961</v>
      </c>
      <c r="D8">
        <f t="shared" si="1"/>
        <v>0.96825599999999645</v>
      </c>
    </row>
    <row r="9" spans="1:9" x14ac:dyDescent="0.45">
      <c r="A9" s="1">
        <v>18.5</v>
      </c>
      <c r="B9">
        <v>19.100000000000001</v>
      </c>
      <c r="C9" s="1">
        <f t="shared" si="0"/>
        <v>0.30470399999999959</v>
      </c>
      <c r="D9">
        <f t="shared" si="1"/>
        <v>0.96825599999999645</v>
      </c>
      <c r="F9" t="s">
        <v>4</v>
      </c>
      <c r="G9">
        <f xml:space="preserve"> SQRT(SUM(C:C)/($I$2-1))</f>
        <v>0.52962828705515685</v>
      </c>
    </row>
    <row r="10" spans="1:9" x14ac:dyDescent="0.45">
      <c r="A10" s="1">
        <v>18.600000000000001</v>
      </c>
      <c r="B10">
        <v>21</v>
      </c>
      <c r="C10" s="1">
        <f t="shared" si="0"/>
        <v>0.42510400000000131</v>
      </c>
      <c r="D10">
        <f t="shared" si="1"/>
        <v>0.83905600000000069</v>
      </c>
      <c r="F10" t="s">
        <v>6</v>
      </c>
      <c r="G10">
        <f>SQRT(SUM(D:D)/($I$2+1))</f>
        <v>0.65600095647945533</v>
      </c>
    </row>
    <row r="11" spans="1:9" x14ac:dyDescent="0.45">
      <c r="A11" s="1">
        <v>17.399999999999999</v>
      </c>
      <c r="B11">
        <v>19.100000000000001</v>
      </c>
      <c r="C11" s="1">
        <f t="shared" si="0"/>
        <v>0.30030400000000201</v>
      </c>
      <c r="D11">
        <f t="shared" si="1"/>
        <v>0.96825599999999645</v>
      </c>
    </row>
    <row r="12" spans="1:9" x14ac:dyDescent="0.45">
      <c r="A12" s="1">
        <v>18.2</v>
      </c>
      <c r="B12">
        <v>20.3</v>
      </c>
      <c r="C12" s="1">
        <f t="shared" si="0"/>
        <v>6.3503999999999436E-2</v>
      </c>
      <c r="D12">
        <f t="shared" si="1"/>
        <v>4.6656000000000468E-2</v>
      </c>
      <c r="F12" t="s">
        <v>7</v>
      </c>
      <c r="G12">
        <f>G9/SQRT(I2)</f>
        <v>7.4900750656983359E-2</v>
      </c>
    </row>
    <row r="13" spans="1:9" x14ac:dyDescent="0.45">
      <c r="A13" s="1">
        <v>17.3</v>
      </c>
      <c r="B13">
        <v>19.100000000000001</v>
      </c>
      <c r="C13" s="1">
        <f t="shared" si="0"/>
        <v>0.41990399999999961</v>
      </c>
      <c r="D13">
        <f t="shared" si="1"/>
        <v>0.96825599999999645</v>
      </c>
      <c r="F13" t="s">
        <v>8</v>
      </c>
      <c r="G13">
        <f xml:space="preserve"> G10/ SQRT(I2)</f>
        <v>9.2772544958296815E-2</v>
      </c>
    </row>
    <row r="14" spans="1:9" x14ac:dyDescent="0.45">
      <c r="A14" s="1">
        <v>18</v>
      </c>
      <c r="B14">
        <v>20.5</v>
      </c>
      <c r="C14" s="1">
        <f t="shared" si="0"/>
        <v>2.7039999999999586E-3</v>
      </c>
      <c r="D14">
        <f t="shared" si="1"/>
        <v>0.17305600000000032</v>
      </c>
    </row>
    <row r="15" spans="1:9" x14ac:dyDescent="0.45">
      <c r="A15" s="1">
        <v>18.100000000000001</v>
      </c>
      <c r="B15">
        <v>21</v>
      </c>
      <c r="C15" s="1">
        <f t="shared" si="0"/>
        <v>2.3104000000000312E-2</v>
      </c>
      <c r="D15">
        <f t="shared" si="1"/>
        <v>0.83905600000000069</v>
      </c>
      <c r="F15" t="s">
        <v>9</v>
      </c>
      <c r="G15">
        <f xml:space="preserve"> (5/2)/SQRT(3)</f>
        <v>1.4433756729740645</v>
      </c>
    </row>
    <row r="16" spans="1:9" x14ac:dyDescent="0.45">
      <c r="A16" s="1">
        <v>17.899999999999999</v>
      </c>
      <c r="B16">
        <v>20.5</v>
      </c>
      <c r="C16" s="1">
        <f t="shared" si="0"/>
        <v>2.3040000000001748E-3</v>
      </c>
      <c r="D16">
        <f t="shared" si="1"/>
        <v>0.17305600000000032</v>
      </c>
      <c r="F16" t="s">
        <v>10</v>
      </c>
      <c r="G16">
        <f xml:space="preserve"> (5/2)/SQRT(3)</f>
        <v>1.4433756729740645</v>
      </c>
    </row>
    <row r="17" spans="1:7" x14ac:dyDescent="0.45">
      <c r="A17" s="1">
        <v>17.2</v>
      </c>
      <c r="B17">
        <v>20.5</v>
      </c>
      <c r="C17" s="1">
        <f t="shared" si="0"/>
        <v>0.55950400000000167</v>
      </c>
      <c r="D17">
        <f t="shared" si="1"/>
        <v>0.17305600000000032</v>
      </c>
    </row>
    <row r="18" spans="1:7" x14ac:dyDescent="0.45">
      <c r="A18" s="1">
        <v>17.3</v>
      </c>
      <c r="B18">
        <v>20.399999999999999</v>
      </c>
      <c r="C18" s="1">
        <f t="shared" si="0"/>
        <v>0.41990399999999961</v>
      </c>
      <c r="D18">
        <f t="shared" si="1"/>
        <v>9.9855999999999334E-2</v>
      </c>
      <c r="F18" t="s">
        <v>11</v>
      </c>
      <c r="G18">
        <f xml:space="preserve"> SQRT(G15^2 + G12^2)</f>
        <v>1.4453177698285986</v>
      </c>
    </row>
    <row r="19" spans="1:7" x14ac:dyDescent="0.45">
      <c r="A19" s="1">
        <v>18.8</v>
      </c>
      <c r="B19">
        <v>19.2</v>
      </c>
      <c r="C19" s="1">
        <f t="shared" si="0"/>
        <v>0.72590400000000055</v>
      </c>
      <c r="D19">
        <f t="shared" si="1"/>
        <v>0.78145600000000059</v>
      </c>
      <c r="F19" t="s">
        <v>12</v>
      </c>
      <c r="G19">
        <f>SQRT(G13^2 + G16^2)</f>
        <v>1.4463540639937971</v>
      </c>
    </row>
    <row r="20" spans="1:7" x14ac:dyDescent="0.45">
      <c r="A20" s="1">
        <v>17.899999999999999</v>
      </c>
      <c r="B20">
        <v>20.5</v>
      </c>
      <c r="C20" s="1">
        <f t="shared" si="0"/>
        <v>2.3040000000001748E-3</v>
      </c>
      <c r="D20">
        <f t="shared" si="1"/>
        <v>0.17305600000000032</v>
      </c>
    </row>
    <row r="21" spans="1:7" x14ac:dyDescent="0.45">
      <c r="A21" s="1">
        <v>18.600000000000001</v>
      </c>
      <c r="B21">
        <v>19.7</v>
      </c>
      <c r="C21" s="1">
        <f t="shared" si="0"/>
        <v>0.42510400000000131</v>
      </c>
      <c r="D21">
        <f t="shared" si="1"/>
        <v>0.14745600000000025</v>
      </c>
    </row>
    <row r="22" spans="1:7" x14ac:dyDescent="0.45">
      <c r="A22" s="1">
        <v>17.3</v>
      </c>
      <c r="B22">
        <v>19.2</v>
      </c>
      <c r="C22" s="1">
        <f t="shared" si="0"/>
        <v>0.41990399999999961</v>
      </c>
      <c r="D22">
        <f t="shared" si="1"/>
        <v>0.78145600000000059</v>
      </c>
    </row>
    <row r="23" spans="1:7" x14ac:dyDescent="0.45">
      <c r="A23" s="1">
        <v>17.600000000000001</v>
      </c>
      <c r="B23">
        <v>20.8</v>
      </c>
      <c r="C23" s="1">
        <f t="shared" si="0"/>
        <v>0.12110399999999928</v>
      </c>
      <c r="D23">
        <f t="shared" si="1"/>
        <v>0.51265600000000155</v>
      </c>
    </row>
    <row r="24" spans="1:7" x14ac:dyDescent="0.45">
      <c r="A24" s="1">
        <v>18.3</v>
      </c>
      <c r="B24">
        <v>20.9</v>
      </c>
      <c r="C24" s="1">
        <f t="shared" si="0"/>
        <v>0.12390400000000022</v>
      </c>
      <c r="D24">
        <f t="shared" si="1"/>
        <v>0.66585599999999834</v>
      </c>
    </row>
    <row r="25" spans="1:7" x14ac:dyDescent="0.45">
      <c r="A25" s="1">
        <v>17.8</v>
      </c>
      <c r="B25">
        <v>20.7</v>
      </c>
      <c r="C25" s="1">
        <f t="shared" si="0"/>
        <v>2.1903999999999906E-2</v>
      </c>
      <c r="D25">
        <f t="shared" si="1"/>
        <v>0.37945599999999957</v>
      </c>
    </row>
    <row r="26" spans="1:7" x14ac:dyDescent="0.45">
      <c r="A26" s="1">
        <v>17.2</v>
      </c>
      <c r="B26">
        <v>20.2</v>
      </c>
      <c r="C26" s="1">
        <f t="shared" si="0"/>
        <v>0.55950400000000167</v>
      </c>
      <c r="D26">
        <f t="shared" si="1"/>
        <v>1.3455999999999921E-2</v>
      </c>
    </row>
    <row r="27" spans="1:7" x14ac:dyDescent="0.45">
      <c r="A27" s="1">
        <v>17.899999999999999</v>
      </c>
      <c r="B27">
        <v>19.600000000000001</v>
      </c>
      <c r="C27" s="1">
        <f t="shared" si="0"/>
        <v>2.3040000000001748E-3</v>
      </c>
      <c r="D27">
        <f t="shared" si="1"/>
        <v>0.23425599999999827</v>
      </c>
    </row>
    <row r="28" spans="1:7" x14ac:dyDescent="0.45">
      <c r="A28" s="1">
        <v>17.7</v>
      </c>
      <c r="B28">
        <v>19.3</v>
      </c>
      <c r="C28" s="1">
        <f t="shared" si="0"/>
        <v>6.1504000000000551E-2</v>
      </c>
      <c r="D28">
        <f t="shared" si="1"/>
        <v>0.61465599999999831</v>
      </c>
    </row>
    <row r="29" spans="1:7" x14ac:dyDescent="0.45">
      <c r="A29" s="1">
        <v>18.100000000000001</v>
      </c>
      <c r="B29">
        <v>19.2</v>
      </c>
      <c r="C29" s="1">
        <f t="shared" si="0"/>
        <v>2.3104000000000312E-2</v>
      </c>
      <c r="D29">
        <f t="shared" si="1"/>
        <v>0.78145600000000059</v>
      </c>
    </row>
    <row r="30" spans="1:7" x14ac:dyDescent="0.45">
      <c r="A30" s="1">
        <v>19</v>
      </c>
      <c r="B30">
        <v>19.2</v>
      </c>
      <c r="C30" s="1">
        <f t="shared" si="0"/>
        <v>1.1067039999999992</v>
      </c>
      <c r="D30">
        <f t="shared" si="1"/>
        <v>0.78145600000000059</v>
      </c>
    </row>
    <row r="31" spans="1:7" x14ac:dyDescent="0.45">
      <c r="A31" s="1">
        <v>17.399999999999999</v>
      </c>
      <c r="B31">
        <v>19.8</v>
      </c>
      <c r="C31" s="1">
        <f t="shared" si="0"/>
        <v>0.30030400000000201</v>
      </c>
      <c r="D31">
        <f t="shared" si="1"/>
        <v>8.0655999999999381E-2</v>
      </c>
    </row>
    <row r="32" spans="1:7" x14ac:dyDescent="0.45">
      <c r="A32" s="1">
        <v>18.100000000000001</v>
      </c>
      <c r="B32">
        <v>20.100000000000001</v>
      </c>
      <c r="C32" s="1">
        <f t="shared" si="0"/>
        <v>2.3104000000000312E-2</v>
      </c>
      <c r="D32">
        <f t="shared" si="1"/>
        <v>2.5600000000005729E-4</v>
      </c>
    </row>
    <row r="33" spans="1:4" x14ac:dyDescent="0.45">
      <c r="A33" s="1">
        <v>18.399999999999999</v>
      </c>
      <c r="B33">
        <v>19.100000000000001</v>
      </c>
      <c r="C33" s="1">
        <f t="shared" si="0"/>
        <v>0.20430399999999835</v>
      </c>
      <c r="D33">
        <f t="shared" si="1"/>
        <v>0.96825599999999645</v>
      </c>
    </row>
    <row r="34" spans="1:4" x14ac:dyDescent="0.45">
      <c r="A34" s="1">
        <v>18.5</v>
      </c>
      <c r="B34">
        <v>20.5</v>
      </c>
      <c r="C34" s="1">
        <f t="shared" si="0"/>
        <v>0.30470399999999959</v>
      </c>
      <c r="D34">
        <f t="shared" si="1"/>
        <v>0.17305600000000032</v>
      </c>
    </row>
    <row r="35" spans="1:4" x14ac:dyDescent="0.45">
      <c r="A35" s="1">
        <v>18.2</v>
      </c>
      <c r="B35">
        <v>19.3</v>
      </c>
      <c r="C35" s="1">
        <f t="shared" si="0"/>
        <v>6.3503999999999436E-2</v>
      </c>
      <c r="D35">
        <f t="shared" si="1"/>
        <v>0.61465599999999831</v>
      </c>
    </row>
    <row r="36" spans="1:4" x14ac:dyDescent="0.45">
      <c r="A36" s="1">
        <v>18.600000000000001</v>
      </c>
      <c r="B36">
        <v>20.3</v>
      </c>
      <c r="C36" s="1">
        <f t="shared" si="0"/>
        <v>0.42510400000000131</v>
      </c>
      <c r="D36">
        <f t="shared" si="1"/>
        <v>4.6656000000000468E-2</v>
      </c>
    </row>
    <row r="37" spans="1:4" x14ac:dyDescent="0.45">
      <c r="A37" s="1">
        <v>18.100000000000001</v>
      </c>
      <c r="B37">
        <v>19.899999999999999</v>
      </c>
      <c r="C37" s="1">
        <f t="shared" si="0"/>
        <v>2.3104000000000312E-2</v>
      </c>
      <c r="D37">
        <f t="shared" si="1"/>
        <v>3.3856000000000386E-2</v>
      </c>
    </row>
    <row r="38" spans="1:4" x14ac:dyDescent="0.45">
      <c r="A38" s="1">
        <v>18</v>
      </c>
      <c r="B38">
        <v>20.7</v>
      </c>
      <c r="C38" s="1">
        <f t="shared" si="0"/>
        <v>2.7039999999999586E-3</v>
      </c>
      <c r="D38">
        <f t="shared" si="1"/>
        <v>0.37945599999999957</v>
      </c>
    </row>
    <row r="39" spans="1:4" x14ac:dyDescent="0.45">
      <c r="A39" s="1">
        <v>18.399999999999999</v>
      </c>
      <c r="B39">
        <v>21</v>
      </c>
      <c r="C39" s="1">
        <f t="shared" si="0"/>
        <v>0.20430399999999835</v>
      </c>
      <c r="D39">
        <f t="shared" si="1"/>
        <v>0.83905600000000069</v>
      </c>
    </row>
    <row r="40" spans="1:4" x14ac:dyDescent="0.45">
      <c r="A40" s="1">
        <v>18.399999999999999</v>
      </c>
      <c r="B40">
        <v>20.2</v>
      </c>
      <c r="C40" s="1">
        <f t="shared" si="0"/>
        <v>0.20430399999999835</v>
      </c>
      <c r="D40">
        <f t="shared" si="1"/>
        <v>1.3455999999999921E-2</v>
      </c>
    </row>
    <row r="41" spans="1:4" x14ac:dyDescent="0.45">
      <c r="A41" s="1">
        <v>17.3</v>
      </c>
      <c r="B41">
        <v>20</v>
      </c>
      <c r="C41" s="1">
        <f t="shared" si="0"/>
        <v>0.41990399999999961</v>
      </c>
      <c r="D41">
        <f t="shared" si="1"/>
        <v>7.0559999999999382E-3</v>
      </c>
    </row>
    <row r="42" spans="1:4" x14ac:dyDescent="0.45">
      <c r="A42" s="1">
        <v>18.100000000000001</v>
      </c>
      <c r="B42">
        <v>20.7</v>
      </c>
      <c r="C42" s="1">
        <f t="shared" si="0"/>
        <v>2.3104000000000312E-2</v>
      </c>
      <c r="D42">
        <f t="shared" si="1"/>
        <v>0.37945599999999957</v>
      </c>
    </row>
    <row r="43" spans="1:4" x14ac:dyDescent="0.45">
      <c r="A43" s="1">
        <v>17.100000000000001</v>
      </c>
      <c r="B43">
        <v>20.7</v>
      </c>
      <c r="C43" s="1">
        <f t="shared" si="0"/>
        <v>0.7191039999999983</v>
      </c>
      <c r="D43">
        <f t="shared" si="1"/>
        <v>0.37945599999999957</v>
      </c>
    </row>
    <row r="44" spans="1:4" x14ac:dyDescent="0.45">
      <c r="A44" s="1">
        <v>17.2</v>
      </c>
      <c r="B44">
        <v>19.3</v>
      </c>
      <c r="C44" s="1">
        <f t="shared" si="0"/>
        <v>0.55950400000000167</v>
      </c>
      <c r="D44">
        <f t="shared" si="1"/>
        <v>0.61465599999999831</v>
      </c>
    </row>
    <row r="45" spans="1:4" x14ac:dyDescent="0.45">
      <c r="A45" s="1">
        <v>18.899999999999999</v>
      </c>
      <c r="B45">
        <v>20.3</v>
      </c>
      <c r="C45" s="1">
        <f t="shared" si="0"/>
        <v>0.90630399999999656</v>
      </c>
      <c r="D45">
        <f t="shared" si="1"/>
        <v>4.6656000000000468E-2</v>
      </c>
    </row>
    <row r="46" spans="1:4" x14ac:dyDescent="0.45">
      <c r="A46" s="1">
        <v>18.3</v>
      </c>
      <c r="B46">
        <v>20.399999999999999</v>
      </c>
      <c r="C46" s="1">
        <f t="shared" si="0"/>
        <v>0.12390400000000022</v>
      </c>
      <c r="D46">
        <f t="shared" si="1"/>
        <v>9.9855999999999334E-2</v>
      </c>
    </row>
    <row r="47" spans="1:4" x14ac:dyDescent="0.45">
      <c r="A47" s="1">
        <v>17.399999999999999</v>
      </c>
      <c r="B47">
        <v>20.399999999999999</v>
      </c>
      <c r="C47" s="1">
        <f t="shared" si="0"/>
        <v>0.30030400000000201</v>
      </c>
      <c r="D47">
        <f t="shared" si="1"/>
        <v>9.9855999999999334E-2</v>
      </c>
    </row>
    <row r="48" spans="1:4" x14ac:dyDescent="0.45">
      <c r="A48" s="1">
        <v>18.8</v>
      </c>
      <c r="B48">
        <v>20.7</v>
      </c>
      <c r="C48" s="1">
        <f t="shared" si="0"/>
        <v>0.72590400000000055</v>
      </c>
      <c r="D48">
        <f t="shared" si="1"/>
        <v>0.37945599999999957</v>
      </c>
    </row>
    <row r="49" spans="1:4" x14ac:dyDescent="0.45">
      <c r="A49" s="1">
        <v>18.7</v>
      </c>
      <c r="B49">
        <v>21</v>
      </c>
      <c r="C49" s="1">
        <f t="shared" si="0"/>
        <v>0.56550399999999834</v>
      </c>
      <c r="D49">
        <f t="shared" si="1"/>
        <v>0.83905600000000069</v>
      </c>
    </row>
    <row r="50" spans="1:4" x14ac:dyDescent="0.45">
      <c r="A50" s="1">
        <v>17.600000000000001</v>
      </c>
      <c r="B50">
        <v>19.5</v>
      </c>
      <c r="C50" s="1">
        <f t="shared" si="0"/>
        <v>0.12110399999999928</v>
      </c>
      <c r="D50">
        <f t="shared" si="1"/>
        <v>0.34105599999999958</v>
      </c>
    </row>
    <row r="51" spans="1:4" x14ac:dyDescent="0.45">
      <c r="A51" s="1">
        <v>18</v>
      </c>
      <c r="B51">
        <v>20.9</v>
      </c>
      <c r="C51" s="1">
        <f t="shared" si="0"/>
        <v>2.7039999999999586E-3</v>
      </c>
      <c r="D51">
        <f t="shared" si="1"/>
        <v>0.66585599999999834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workbookViewId="0">
      <selection activeCell="C6" sqref="C6"/>
    </sheetView>
  </sheetViews>
  <sheetFormatPr baseColWidth="10" defaultRowHeight="14.25" x14ac:dyDescent="0.45"/>
  <cols>
    <col min="1" max="1" width="25.6640625" bestFit="1" customWidth="1"/>
    <col min="2" max="2" width="25.6640625" style="1" bestFit="1" customWidth="1"/>
    <col min="5" max="5" width="11.53125" customWidth="1"/>
    <col min="6" max="6" width="16.86328125" customWidth="1"/>
  </cols>
  <sheetData>
    <row r="1" spans="1:10" x14ac:dyDescent="0.45">
      <c r="A1" s="1" t="s">
        <v>0</v>
      </c>
      <c r="B1" s="1" t="s">
        <v>1</v>
      </c>
    </row>
    <row r="2" spans="1:10" x14ac:dyDescent="0.45">
      <c r="A2" s="1">
        <v>17.7</v>
      </c>
      <c r="B2" s="1">
        <v>18.5</v>
      </c>
      <c r="C2" s="1">
        <f>(A2-$G$3)^2</f>
        <v>3.648100000000231E-2</v>
      </c>
      <c r="D2" s="1">
        <f xml:space="preserve"> (B2- $G$4)^2</f>
        <v>2.4963999999999946</v>
      </c>
      <c r="I2" t="s">
        <v>16</v>
      </c>
      <c r="J2">
        <v>50</v>
      </c>
    </row>
    <row r="3" spans="1:10" x14ac:dyDescent="0.45">
      <c r="A3" s="1">
        <v>17.2</v>
      </c>
      <c r="B3" s="1">
        <v>19.2</v>
      </c>
      <c r="C3" s="1">
        <f t="shared" ref="C3:C51" si="0">(A3-$G$3)^2</f>
        <v>0.47748100000000837</v>
      </c>
      <c r="D3" s="1">
        <f t="shared" ref="D3:D51" si="1" xml:space="preserve"> (B3- $G$4)^2</f>
        <v>0.7743999999999982</v>
      </c>
      <c r="F3" t="s">
        <v>13</v>
      </c>
      <c r="G3" s="1">
        <f>AVERAGE(A:A)</f>
        <v>17.891000000000005</v>
      </c>
    </row>
    <row r="4" spans="1:10" x14ac:dyDescent="0.45">
      <c r="A4" s="1">
        <v>17.600000000000001</v>
      </c>
      <c r="B4" s="1">
        <v>19.899999999999999</v>
      </c>
      <c r="C4" s="1">
        <f t="shared" si="0"/>
        <v>8.4681000000002282E-2</v>
      </c>
      <c r="D4" s="1">
        <f t="shared" si="1"/>
        <v>3.2399999999999901E-2</v>
      </c>
      <c r="F4" t="s">
        <v>14</v>
      </c>
      <c r="G4" s="1">
        <f>AVERAGE(B:B)</f>
        <v>20.079999999999998</v>
      </c>
      <c r="I4" s="1"/>
    </row>
    <row r="5" spans="1:10" x14ac:dyDescent="0.45">
      <c r="A5" s="1">
        <v>18</v>
      </c>
      <c r="B5" s="1">
        <v>20.5</v>
      </c>
      <c r="C5" s="1">
        <f t="shared" si="0"/>
        <v>1.1880999999998835E-2</v>
      </c>
      <c r="D5" s="1">
        <f t="shared" si="1"/>
        <v>0.17640000000000144</v>
      </c>
      <c r="I5" s="1"/>
    </row>
    <row r="6" spans="1:10" x14ac:dyDescent="0.45">
      <c r="A6" s="1">
        <v>18.600000000000001</v>
      </c>
      <c r="B6" s="1">
        <v>21</v>
      </c>
      <c r="C6" s="1">
        <f t="shared" si="0"/>
        <v>0.50268099999999449</v>
      </c>
      <c r="D6" s="1">
        <f t="shared" si="1"/>
        <v>0.84640000000000315</v>
      </c>
      <c r="F6" t="s">
        <v>17</v>
      </c>
      <c r="G6">
        <f>SQRT(SUM(C:C)/($J$2-1))</f>
        <v>0.52330289352090054</v>
      </c>
    </row>
    <row r="7" spans="1:10" x14ac:dyDescent="0.45">
      <c r="A7" s="1">
        <v>18.899999999999999</v>
      </c>
      <c r="B7" s="1">
        <v>20.9</v>
      </c>
      <c r="C7" s="1">
        <f t="shared" si="0"/>
        <v>1.0180809999999862</v>
      </c>
      <c r="D7" s="1">
        <f t="shared" si="1"/>
        <v>0.67240000000000044</v>
      </c>
      <c r="F7" t="s">
        <v>18</v>
      </c>
      <c r="G7">
        <f>SQRT(SUM(D:D)/($J$2-1))</f>
        <v>0.6761234037828131</v>
      </c>
    </row>
    <row r="8" spans="1:10" x14ac:dyDescent="0.45">
      <c r="A8" s="1">
        <v>18.5</v>
      </c>
      <c r="B8" s="1">
        <v>19.899999999999999</v>
      </c>
      <c r="C8" s="1">
        <f t="shared" si="0"/>
        <v>0.37088099999999347</v>
      </c>
      <c r="D8" s="1">
        <f t="shared" si="1"/>
        <v>3.2399999999999901E-2</v>
      </c>
    </row>
    <row r="9" spans="1:10" x14ac:dyDescent="0.45">
      <c r="A9" s="1">
        <v>17.8</v>
      </c>
      <c r="B9" s="1">
        <v>20.6</v>
      </c>
      <c r="C9" s="1">
        <f t="shared" si="0"/>
        <v>8.2810000000008432E-3</v>
      </c>
      <c r="D9" s="1">
        <f t="shared" si="1"/>
        <v>0.27040000000000325</v>
      </c>
      <c r="F9" t="s">
        <v>19</v>
      </c>
      <c r="G9">
        <f>(5/2)/SQRT(3)</f>
        <v>1.4433756729740645</v>
      </c>
    </row>
    <row r="10" spans="1:10" x14ac:dyDescent="0.45">
      <c r="A10" s="1">
        <v>17.399999999999999</v>
      </c>
      <c r="B10" s="1">
        <v>19.2</v>
      </c>
      <c r="C10" s="1">
        <f t="shared" si="0"/>
        <v>0.24108100000000665</v>
      </c>
      <c r="D10" s="1">
        <f t="shared" si="1"/>
        <v>0.7743999999999982</v>
      </c>
      <c r="F10" t="s">
        <v>20</v>
      </c>
      <c r="G10">
        <f>(5/2)/SQRT(3)</f>
        <v>1.4433756729740645</v>
      </c>
    </row>
    <row r="11" spans="1:10" x14ac:dyDescent="0.45">
      <c r="A11" s="1">
        <v>17.399999999999999</v>
      </c>
      <c r="B11" s="1">
        <v>20.7</v>
      </c>
      <c r="C11" s="1">
        <f t="shared" si="0"/>
        <v>0.24108100000000665</v>
      </c>
      <c r="D11" s="1">
        <f t="shared" si="1"/>
        <v>0.38440000000000124</v>
      </c>
    </row>
    <row r="12" spans="1:10" x14ac:dyDescent="0.45">
      <c r="A12">
        <v>17.8</v>
      </c>
      <c r="B12" s="1">
        <v>20</v>
      </c>
      <c r="C12" s="1">
        <f t="shared" si="0"/>
        <v>8.2810000000008432E-3</v>
      </c>
      <c r="D12" s="1">
        <f t="shared" si="1"/>
        <v>6.3999999999997271E-3</v>
      </c>
      <c r="F12" t="s">
        <v>21</v>
      </c>
      <c r="G12">
        <f xml:space="preserve"> G6/SQRT(J2)</f>
        <v>7.4006204924634111E-2</v>
      </c>
    </row>
    <row r="13" spans="1:10" x14ac:dyDescent="0.45">
      <c r="A13">
        <v>17.2</v>
      </c>
      <c r="B13" s="1">
        <v>21</v>
      </c>
      <c r="C13" s="1">
        <f t="shared" si="0"/>
        <v>0.47748100000000837</v>
      </c>
      <c r="D13" s="1">
        <f t="shared" si="1"/>
        <v>0.84640000000000315</v>
      </c>
      <c r="F13" t="s">
        <v>22</v>
      </c>
      <c r="G13">
        <f>G7/SQRT(J2)</f>
        <v>9.5618288746751462E-2</v>
      </c>
    </row>
    <row r="14" spans="1:10" x14ac:dyDescent="0.45">
      <c r="A14">
        <v>18.600000000000001</v>
      </c>
      <c r="B14" s="1">
        <v>19.600000000000001</v>
      </c>
      <c r="C14" s="1">
        <f t="shared" si="0"/>
        <v>0.50268099999999449</v>
      </c>
      <c r="D14" s="1">
        <f t="shared" si="1"/>
        <v>0.230399999999997</v>
      </c>
    </row>
    <row r="15" spans="1:10" x14ac:dyDescent="0.45">
      <c r="A15">
        <v>17.899999999999999</v>
      </c>
      <c r="B15" s="1">
        <v>20.8</v>
      </c>
      <c r="C15" s="1">
        <f t="shared" si="0"/>
        <v>8.0999999999878248E-5</v>
      </c>
      <c r="D15" s="1">
        <f t="shared" si="1"/>
        <v>0.51840000000000352</v>
      </c>
      <c r="F15" t="s">
        <v>23</v>
      </c>
      <c r="G15">
        <f xml:space="preserve"> SQRT(G9^2 + G12^2)</f>
        <v>1.445271687849963</v>
      </c>
    </row>
    <row r="16" spans="1:10" x14ac:dyDescent="0.45">
      <c r="A16">
        <v>18</v>
      </c>
      <c r="B16" s="1">
        <v>20.6</v>
      </c>
      <c r="C16" s="1">
        <f t="shared" si="0"/>
        <v>1.1880999999998835E-2</v>
      </c>
      <c r="D16" s="1">
        <f t="shared" si="1"/>
        <v>0.27040000000000325</v>
      </c>
      <c r="F16" t="s">
        <v>24</v>
      </c>
      <c r="G16">
        <f xml:space="preserve"> SQRT(G10^2 + G13^2)</f>
        <v>1.4465393843501777</v>
      </c>
    </row>
    <row r="17" spans="1:4" x14ac:dyDescent="0.45">
      <c r="A17">
        <v>17.899999999999999</v>
      </c>
      <c r="B17" s="1">
        <v>20.7</v>
      </c>
      <c r="C17" s="1">
        <f t="shared" si="0"/>
        <v>8.0999999999878248E-5</v>
      </c>
      <c r="D17" s="1">
        <f t="shared" si="1"/>
        <v>0.38440000000000124</v>
      </c>
    </row>
    <row r="18" spans="1:4" x14ac:dyDescent="0.45">
      <c r="A18">
        <v>17.8</v>
      </c>
      <c r="B18" s="1">
        <v>21</v>
      </c>
      <c r="C18" s="1">
        <f t="shared" si="0"/>
        <v>8.2810000000008432E-3</v>
      </c>
      <c r="D18" s="1">
        <f t="shared" si="1"/>
        <v>0.84640000000000315</v>
      </c>
    </row>
    <row r="19" spans="1:4" x14ac:dyDescent="0.45">
      <c r="A19">
        <v>17.100000000000001</v>
      </c>
      <c r="B19" s="1">
        <v>19.100000000000001</v>
      </c>
      <c r="C19" s="1">
        <f t="shared" si="0"/>
        <v>0.62568100000000626</v>
      </c>
      <c r="D19" s="1">
        <f t="shared" si="1"/>
        <v>0.96039999999999393</v>
      </c>
    </row>
    <row r="20" spans="1:4" x14ac:dyDescent="0.45">
      <c r="A20">
        <v>18.399999999999999</v>
      </c>
      <c r="B20" s="1">
        <v>19.600000000000001</v>
      </c>
      <c r="C20" s="1">
        <f t="shared" si="0"/>
        <v>0.25908099999999312</v>
      </c>
      <c r="D20" s="1">
        <f t="shared" si="1"/>
        <v>0.230399999999997</v>
      </c>
    </row>
    <row r="21" spans="1:4" x14ac:dyDescent="0.45">
      <c r="A21">
        <v>18.100000000000001</v>
      </c>
      <c r="B21" s="1">
        <v>20.399999999999999</v>
      </c>
      <c r="C21" s="1">
        <f t="shared" si="0"/>
        <v>4.368099999999836E-2</v>
      </c>
      <c r="D21" s="1">
        <f t="shared" si="1"/>
        <v>0.10240000000000019</v>
      </c>
    </row>
    <row r="22" spans="1:4" x14ac:dyDescent="0.45">
      <c r="A22">
        <v>17.5</v>
      </c>
      <c r="B22" s="1">
        <v>21</v>
      </c>
      <c r="C22" s="1">
        <f t="shared" si="0"/>
        <v>0.15288100000000418</v>
      </c>
      <c r="D22" s="1">
        <f t="shared" si="1"/>
        <v>0.84640000000000315</v>
      </c>
    </row>
    <row r="23" spans="1:4" x14ac:dyDescent="0.45">
      <c r="A23">
        <v>17.8</v>
      </c>
      <c r="B23" s="1">
        <v>19.600000000000001</v>
      </c>
      <c r="C23" s="1">
        <f t="shared" si="0"/>
        <v>8.2810000000008432E-3</v>
      </c>
      <c r="D23" s="1">
        <f t="shared" si="1"/>
        <v>0.230399999999997</v>
      </c>
    </row>
    <row r="24" spans="1:4" x14ac:dyDescent="0.45">
      <c r="A24">
        <v>17.8</v>
      </c>
      <c r="B24" s="1">
        <v>19.2</v>
      </c>
      <c r="C24" s="1">
        <f t="shared" si="0"/>
        <v>8.2810000000008432E-3</v>
      </c>
      <c r="D24" s="1">
        <f t="shared" si="1"/>
        <v>0.7743999999999982</v>
      </c>
    </row>
    <row r="25" spans="1:4" x14ac:dyDescent="0.45">
      <c r="A25">
        <v>17.100000000000001</v>
      </c>
      <c r="B25" s="1">
        <v>19.100000000000001</v>
      </c>
      <c r="C25" s="1">
        <f t="shared" si="0"/>
        <v>0.62568100000000626</v>
      </c>
      <c r="D25" s="1">
        <f t="shared" si="1"/>
        <v>0.96039999999999393</v>
      </c>
    </row>
    <row r="26" spans="1:4" x14ac:dyDescent="0.45">
      <c r="A26">
        <v>18.600000000000001</v>
      </c>
      <c r="B26" s="1">
        <v>19.399999999999999</v>
      </c>
      <c r="C26" s="1">
        <f t="shared" si="0"/>
        <v>0.50268099999999449</v>
      </c>
      <c r="D26" s="1">
        <f t="shared" si="1"/>
        <v>0.46239999999999959</v>
      </c>
    </row>
    <row r="27" spans="1:4" x14ac:dyDescent="0.45">
      <c r="A27">
        <v>17.8</v>
      </c>
      <c r="B27" s="1">
        <v>20.100000000000001</v>
      </c>
      <c r="C27" s="1">
        <f t="shared" si="0"/>
        <v>8.2810000000008432E-3</v>
      </c>
      <c r="D27" s="1">
        <f t="shared" si="1"/>
        <v>4.0000000000012508E-4</v>
      </c>
    </row>
    <row r="28" spans="1:4" x14ac:dyDescent="0.45">
      <c r="A28">
        <v>17.2</v>
      </c>
      <c r="B28" s="1">
        <v>19.5</v>
      </c>
      <c r="C28" s="1">
        <f t="shared" si="0"/>
        <v>0.47748100000000837</v>
      </c>
      <c r="D28" s="1">
        <f t="shared" si="1"/>
        <v>0.33639999999999803</v>
      </c>
    </row>
    <row r="29" spans="1:4" x14ac:dyDescent="0.45">
      <c r="A29">
        <v>17.899999999999999</v>
      </c>
      <c r="B29" s="1">
        <v>21</v>
      </c>
      <c r="C29" s="1">
        <f t="shared" si="0"/>
        <v>8.0999999999878248E-5</v>
      </c>
      <c r="D29" s="1">
        <f t="shared" si="1"/>
        <v>0.84640000000000315</v>
      </c>
    </row>
    <row r="30" spans="1:4" x14ac:dyDescent="0.45">
      <c r="A30">
        <v>18.7</v>
      </c>
      <c r="B30" s="1">
        <v>20.7</v>
      </c>
      <c r="C30" s="1">
        <f t="shared" si="0"/>
        <v>0.65448099999999021</v>
      </c>
      <c r="D30" s="1">
        <f t="shared" si="1"/>
        <v>0.38440000000000124</v>
      </c>
    </row>
    <row r="31" spans="1:4" x14ac:dyDescent="0.45">
      <c r="A31">
        <v>18.5</v>
      </c>
      <c r="B31" s="1">
        <v>19.100000000000001</v>
      </c>
      <c r="C31" s="1">
        <f t="shared" si="0"/>
        <v>0.37088099999999347</v>
      </c>
      <c r="D31" s="1">
        <f t="shared" si="1"/>
        <v>0.96039999999999393</v>
      </c>
    </row>
    <row r="32" spans="1:4" x14ac:dyDescent="0.45">
      <c r="A32">
        <v>18.600000000000001</v>
      </c>
      <c r="B32" s="1">
        <v>21</v>
      </c>
      <c r="C32" s="1">
        <f t="shared" si="0"/>
        <v>0.50268099999999449</v>
      </c>
      <c r="D32" s="1">
        <f t="shared" si="1"/>
        <v>0.84640000000000315</v>
      </c>
    </row>
    <row r="33" spans="1:4" x14ac:dyDescent="0.45">
      <c r="A33">
        <v>17.2</v>
      </c>
      <c r="B33" s="1">
        <v>20.100000000000001</v>
      </c>
      <c r="C33" s="1">
        <f t="shared" si="0"/>
        <v>0.47748100000000837</v>
      </c>
      <c r="D33" s="1">
        <f t="shared" si="1"/>
        <v>4.0000000000012508E-4</v>
      </c>
    </row>
    <row r="34" spans="1:4" x14ac:dyDescent="0.45">
      <c r="A34">
        <v>18.399999999999999</v>
      </c>
      <c r="B34" s="1">
        <v>19.5</v>
      </c>
      <c r="C34" s="1">
        <f t="shared" si="0"/>
        <v>0.25908099999999312</v>
      </c>
      <c r="D34" s="1">
        <f t="shared" si="1"/>
        <v>0.33639999999999803</v>
      </c>
    </row>
    <row r="35" spans="1:4" x14ac:dyDescent="0.45">
      <c r="A35">
        <v>18.600000000000001</v>
      </c>
      <c r="B35" s="1">
        <v>20.7</v>
      </c>
      <c r="C35" s="1">
        <f t="shared" si="0"/>
        <v>0.50268099999999449</v>
      </c>
      <c r="D35" s="1">
        <f t="shared" si="1"/>
        <v>0.38440000000000124</v>
      </c>
    </row>
    <row r="36" spans="1:4" x14ac:dyDescent="0.45">
      <c r="A36">
        <v>18.2</v>
      </c>
      <c r="B36" s="1">
        <v>20.8</v>
      </c>
      <c r="C36" s="1">
        <f t="shared" si="0"/>
        <v>9.5480999999996263E-2</v>
      </c>
      <c r="D36" s="1">
        <f t="shared" si="1"/>
        <v>0.51840000000000352</v>
      </c>
    </row>
    <row r="37" spans="1:4" x14ac:dyDescent="0.45">
      <c r="A37">
        <v>17.899999999999999</v>
      </c>
      <c r="B37" s="1">
        <v>20.100000000000001</v>
      </c>
      <c r="C37" s="1">
        <f t="shared" si="0"/>
        <v>8.0999999999878248E-5</v>
      </c>
      <c r="D37" s="1">
        <f t="shared" si="1"/>
        <v>4.0000000000012508E-4</v>
      </c>
    </row>
    <row r="38" spans="1:4" x14ac:dyDescent="0.45">
      <c r="A38">
        <v>17.2</v>
      </c>
      <c r="B38" s="1">
        <v>20</v>
      </c>
      <c r="C38" s="1">
        <f t="shared" si="0"/>
        <v>0.47748100000000837</v>
      </c>
      <c r="D38" s="1">
        <f t="shared" si="1"/>
        <v>6.3999999999997271E-3</v>
      </c>
    </row>
    <row r="39" spans="1:4" x14ac:dyDescent="0.45">
      <c r="A39">
        <v>18.7</v>
      </c>
      <c r="B39" s="1">
        <v>19.8</v>
      </c>
      <c r="C39" s="1">
        <f t="shared" si="0"/>
        <v>0.65448099999999021</v>
      </c>
      <c r="D39" s="1">
        <f t="shared" si="1"/>
        <v>7.8399999999998651E-2</v>
      </c>
    </row>
    <row r="40" spans="1:4" x14ac:dyDescent="0.45">
      <c r="A40">
        <v>19</v>
      </c>
      <c r="B40" s="1">
        <v>19.2</v>
      </c>
      <c r="C40" s="1">
        <f t="shared" si="0"/>
        <v>1.2298809999999882</v>
      </c>
      <c r="D40" s="1">
        <f t="shared" si="1"/>
        <v>0.7743999999999982</v>
      </c>
    </row>
    <row r="41" spans="1:4" x14ac:dyDescent="0.45">
      <c r="A41">
        <v>17.3</v>
      </c>
      <c r="B41" s="1">
        <v>20.8</v>
      </c>
      <c r="C41" s="1">
        <f t="shared" si="0"/>
        <v>0.34928100000000545</v>
      </c>
      <c r="D41" s="1">
        <f t="shared" si="1"/>
        <v>0.51840000000000352</v>
      </c>
    </row>
    <row r="42" spans="1:4" x14ac:dyDescent="0.45">
      <c r="A42">
        <v>17.399999999999999</v>
      </c>
      <c r="B42" s="1">
        <v>20.3</v>
      </c>
      <c r="C42" s="1">
        <f t="shared" si="0"/>
        <v>0.24108100000000665</v>
      </c>
      <c r="D42" s="1">
        <f t="shared" si="1"/>
        <v>4.840000000000106E-2</v>
      </c>
    </row>
    <row r="43" spans="1:4" x14ac:dyDescent="0.45">
      <c r="A43">
        <v>17.5</v>
      </c>
      <c r="B43" s="1">
        <v>21</v>
      </c>
      <c r="C43" s="1">
        <f t="shared" si="0"/>
        <v>0.15288100000000418</v>
      </c>
      <c r="D43" s="1">
        <f t="shared" si="1"/>
        <v>0.84640000000000315</v>
      </c>
    </row>
    <row r="44" spans="1:4" x14ac:dyDescent="0.45">
      <c r="A44">
        <v>17.5</v>
      </c>
      <c r="B44" s="1">
        <v>19.5</v>
      </c>
      <c r="C44" s="1">
        <f t="shared" si="0"/>
        <v>0.15288100000000418</v>
      </c>
      <c r="D44" s="1">
        <f t="shared" si="1"/>
        <v>0.33639999999999803</v>
      </c>
    </row>
    <row r="45" spans="1:4" x14ac:dyDescent="0.45">
      <c r="A45">
        <v>17.399999999999999</v>
      </c>
      <c r="B45" s="1">
        <v>19.399999999999999</v>
      </c>
      <c r="C45" s="1">
        <f t="shared" si="0"/>
        <v>0.24108100000000665</v>
      </c>
      <c r="D45" s="1">
        <f t="shared" si="1"/>
        <v>0.46239999999999959</v>
      </c>
    </row>
    <row r="46" spans="1:4" x14ac:dyDescent="0.45">
      <c r="A46">
        <v>17.899999999999999</v>
      </c>
      <c r="B46" s="1">
        <v>20.100000000000001</v>
      </c>
      <c r="C46" s="1">
        <f t="shared" si="0"/>
        <v>8.0999999999878248E-5</v>
      </c>
      <c r="D46" s="1">
        <f t="shared" si="1"/>
        <v>4.0000000000012508E-4</v>
      </c>
    </row>
    <row r="47" spans="1:4" x14ac:dyDescent="0.45">
      <c r="A47">
        <v>17.8</v>
      </c>
      <c r="B47" s="1">
        <v>20.5</v>
      </c>
      <c r="C47" s="1">
        <f t="shared" si="0"/>
        <v>8.2810000000008432E-3</v>
      </c>
      <c r="D47" s="1">
        <f t="shared" si="1"/>
        <v>0.17640000000000144</v>
      </c>
    </row>
    <row r="48" spans="1:4" x14ac:dyDescent="0.45">
      <c r="A48">
        <v>18.100000000000001</v>
      </c>
      <c r="B48" s="1">
        <v>19.899999999999999</v>
      </c>
      <c r="C48" s="1">
        <f t="shared" si="0"/>
        <v>4.368099999999836E-2</v>
      </c>
      <c r="D48" s="1">
        <f t="shared" si="1"/>
        <v>3.2399999999999901E-2</v>
      </c>
    </row>
    <row r="49" spans="1:4" x14ac:dyDescent="0.45">
      <c r="A49">
        <v>18</v>
      </c>
      <c r="B49" s="1">
        <v>19.899999999999999</v>
      </c>
      <c r="C49" s="1">
        <f t="shared" si="0"/>
        <v>1.1880999999998835E-2</v>
      </c>
      <c r="D49" s="1">
        <f t="shared" si="1"/>
        <v>3.2399999999999901E-2</v>
      </c>
    </row>
    <row r="50" spans="1:4" x14ac:dyDescent="0.45">
      <c r="A50">
        <v>17.600000000000001</v>
      </c>
      <c r="B50" s="1">
        <v>19.5</v>
      </c>
      <c r="C50" s="1">
        <f t="shared" si="0"/>
        <v>8.4681000000002282E-2</v>
      </c>
      <c r="D50" s="1">
        <f t="shared" si="1"/>
        <v>0.33639999999999803</v>
      </c>
    </row>
    <row r="51" spans="1:4" x14ac:dyDescent="0.45">
      <c r="A51">
        <v>17.45</v>
      </c>
      <c r="B51" s="1">
        <v>20</v>
      </c>
      <c r="C51" s="1">
        <f t="shared" si="0"/>
        <v>0.19448100000000534</v>
      </c>
      <c r="D51" s="1">
        <f t="shared" si="1"/>
        <v>6.3999999999997271E-3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1"/>
  <sheetViews>
    <sheetView workbookViewId="0">
      <selection activeCell="C2" sqref="C2"/>
    </sheetView>
  </sheetViews>
  <sheetFormatPr baseColWidth="10" defaultRowHeight="14.25" x14ac:dyDescent="0.45"/>
  <cols>
    <col min="1" max="2" width="25.6640625" style="1" bestFit="1" customWidth="1"/>
    <col min="6" max="6" width="16.796875" customWidth="1"/>
  </cols>
  <sheetData>
    <row r="1" spans="1:10" x14ac:dyDescent="0.45">
      <c r="A1" s="1" t="s">
        <v>0</v>
      </c>
      <c r="B1" s="1" t="s">
        <v>1</v>
      </c>
    </row>
    <row r="2" spans="1:10" x14ac:dyDescent="0.45">
      <c r="A2" s="1">
        <v>19</v>
      </c>
      <c r="B2" s="1">
        <v>19.100000000000001</v>
      </c>
      <c r="C2" s="1">
        <f xml:space="preserve"> (A2-$G$3)^2</f>
        <v>1.0404000000000064</v>
      </c>
      <c r="D2" s="1">
        <f>( B2-$G$4)^2</f>
        <v>0.82446400000000231</v>
      </c>
    </row>
    <row r="3" spans="1:10" x14ac:dyDescent="0.45">
      <c r="A3" s="1">
        <v>17.5</v>
      </c>
      <c r="B3" s="1">
        <v>19.8</v>
      </c>
      <c r="C3" s="1">
        <f t="shared" ref="C3:C51" si="0" xml:space="preserve"> (A3-$G$3)^2</f>
        <v>0.230399999999997</v>
      </c>
      <c r="D3" s="1">
        <f t="shared" ref="D3:D51" si="1">( B3-$G$4)^2</f>
        <v>4.3264000000000816E-2</v>
      </c>
      <c r="F3" t="s">
        <v>2</v>
      </c>
      <c r="G3" s="1">
        <f xml:space="preserve"> AVERAGE(A:A)</f>
        <v>17.979999999999997</v>
      </c>
      <c r="I3" t="s">
        <v>15</v>
      </c>
      <c r="J3">
        <v>50</v>
      </c>
    </row>
    <row r="4" spans="1:10" x14ac:dyDescent="0.45">
      <c r="A4" s="1">
        <v>17.399999999999999</v>
      </c>
      <c r="B4" s="1">
        <v>20.3</v>
      </c>
      <c r="C4" s="1">
        <f t="shared" si="0"/>
        <v>0.33639999999999803</v>
      </c>
      <c r="D4" s="1">
        <f t="shared" si="1"/>
        <v>8.5263999999998855E-2</v>
      </c>
      <c r="F4" t="s">
        <v>3</v>
      </c>
      <c r="G4" s="1">
        <f xml:space="preserve"> AVERAGE(B:B)</f>
        <v>20.008000000000003</v>
      </c>
    </row>
    <row r="5" spans="1:10" x14ac:dyDescent="0.45">
      <c r="A5" s="1">
        <v>19</v>
      </c>
      <c r="B5" s="1">
        <v>19.100000000000001</v>
      </c>
      <c r="C5" s="1">
        <f t="shared" si="0"/>
        <v>1.0404000000000064</v>
      </c>
      <c r="D5" s="1">
        <f t="shared" si="1"/>
        <v>0.82446400000000231</v>
      </c>
    </row>
    <row r="6" spans="1:10" x14ac:dyDescent="0.45">
      <c r="A6" s="1">
        <v>17.3</v>
      </c>
      <c r="B6" s="1">
        <v>20.100000000000001</v>
      </c>
      <c r="C6" s="1">
        <f t="shared" si="0"/>
        <v>0.46239999999999476</v>
      </c>
      <c r="D6" s="1">
        <f t="shared" si="1"/>
        <v>8.4639999999997703E-3</v>
      </c>
      <c r="F6" t="s">
        <v>25</v>
      </c>
      <c r="G6">
        <f>SQRT(SUM(C:C)/(J3-1))</f>
        <v>0.61378717311259523</v>
      </c>
    </row>
    <row r="7" spans="1:10" x14ac:dyDescent="0.45">
      <c r="A7" s="1">
        <v>17.600000000000001</v>
      </c>
      <c r="B7" s="1">
        <v>20</v>
      </c>
      <c r="C7" s="1">
        <f t="shared" si="0"/>
        <v>0.14439999999999653</v>
      </c>
      <c r="D7" s="1">
        <f t="shared" si="1"/>
        <v>6.4000000000042742E-5</v>
      </c>
      <c r="F7" t="s">
        <v>18</v>
      </c>
      <c r="G7">
        <f xml:space="preserve"> SQRT(SUM(D:D)/(J3-1))</f>
        <v>0.62461089928867197</v>
      </c>
    </row>
    <row r="8" spans="1:10" x14ac:dyDescent="0.45">
      <c r="A8" s="1">
        <v>18.600000000000001</v>
      </c>
      <c r="B8" s="1">
        <v>19.100000000000001</v>
      </c>
      <c r="C8" s="1">
        <f t="shared" si="0"/>
        <v>0.38440000000000563</v>
      </c>
      <c r="D8" s="1">
        <f t="shared" si="1"/>
        <v>0.82446400000000231</v>
      </c>
    </row>
    <row r="9" spans="1:10" x14ac:dyDescent="0.45">
      <c r="A9" s="1">
        <v>17.7</v>
      </c>
      <c r="B9" s="1">
        <v>19.2</v>
      </c>
      <c r="C9" s="1">
        <f t="shared" si="0"/>
        <v>7.8399999999998651E-2</v>
      </c>
      <c r="D9" s="1">
        <f t="shared" si="1"/>
        <v>0.65286400000000544</v>
      </c>
      <c r="F9" t="s">
        <v>19</v>
      </c>
      <c r="G9">
        <f>(5/2)/SQRT(3)</f>
        <v>1.4433756729740645</v>
      </c>
    </row>
    <row r="10" spans="1:10" x14ac:dyDescent="0.45">
      <c r="A10" s="1">
        <v>18.8</v>
      </c>
      <c r="B10" s="1">
        <v>20.3</v>
      </c>
      <c r="C10" s="1">
        <f t="shared" si="0"/>
        <v>0.67240000000000633</v>
      </c>
      <c r="D10" s="1">
        <f t="shared" si="1"/>
        <v>8.5263999999998855E-2</v>
      </c>
      <c r="F10" t="s">
        <v>20</v>
      </c>
      <c r="G10">
        <f>(5/2)/SQRT(3)</f>
        <v>1.4433756729740645</v>
      </c>
    </row>
    <row r="11" spans="1:10" x14ac:dyDescent="0.45">
      <c r="A11" s="1">
        <v>18.8</v>
      </c>
      <c r="B11" s="1">
        <v>20.8</v>
      </c>
      <c r="C11" s="1">
        <f t="shared" si="0"/>
        <v>0.67240000000000633</v>
      </c>
      <c r="D11" s="1">
        <f t="shared" si="1"/>
        <v>0.62726399999999694</v>
      </c>
    </row>
    <row r="12" spans="1:10" x14ac:dyDescent="0.45">
      <c r="A12" s="1">
        <v>17.100000000000001</v>
      </c>
      <c r="B12" s="1">
        <v>19.2</v>
      </c>
      <c r="C12" s="1">
        <f t="shared" si="0"/>
        <v>0.77439999999999198</v>
      </c>
      <c r="D12" s="1">
        <f t="shared" si="1"/>
        <v>0.65286400000000544</v>
      </c>
      <c r="F12" t="s">
        <v>21</v>
      </c>
      <c r="G12">
        <f xml:space="preserve"> G6/SQRT(J3)</f>
        <v>8.680261446264749E-2</v>
      </c>
    </row>
    <row r="13" spans="1:10" x14ac:dyDescent="0.45">
      <c r="A13" s="1">
        <v>17.8</v>
      </c>
      <c r="B13" s="1">
        <v>19.100000000000001</v>
      </c>
      <c r="C13" s="1">
        <f t="shared" si="0"/>
        <v>3.2399999999998617E-2</v>
      </c>
      <c r="D13" s="1">
        <f t="shared" si="1"/>
        <v>0.82446400000000231</v>
      </c>
      <c r="F13" t="s">
        <v>22</v>
      </c>
      <c r="G13">
        <f xml:space="preserve"> G7/SQRT(J3)</f>
        <v>8.8333320498009529E-2</v>
      </c>
    </row>
    <row r="14" spans="1:10" x14ac:dyDescent="0.45">
      <c r="A14" s="1">
        <v>17.399999999999999</v>
      </c>
      <c r="B14" s="1">
        <v>19.8</v>
      </c>
      <c r="C14" s="1">
        <f t="shared" si="0"/>
        <v>0.33639999999999803</v>
      </c>
      <c r="D14" s="1">
        <f t="shared" si="1"/>
        <v>4.3264000000000816E-2</v>
      </c>
    </row>
    <row r="15" spans="1:10" x14ac:dyDescent="0.45">
      <c r="A15" s="1">
        <v>17.600000000000001</v>
      </c>
      <c r="B15" s="1">
        <v>20.9</v>
      </c>
      <c r="C15" s="1">
        <f t="shared" si="0"/>
        <v>0.14439999999999653</v>
      </c>
      <c r="D15" s="1">
        <f t="shared" si="1"/>
        <v>0.79566399999999271</v>
      </c>
      <c r="F15" t="s">
        <v>23</v>
      </c>
      <c r="G15">
        <f>SQRT(G12^2 + G9^2)</f>
        <v>1.4459834118034982</v>
      </c>
    </row>
    <row r="16" spans="1:10" x14ac:dyDescent="0.45">
      <c r="A16" s="1">
        <v>17.600000000000001</v>
      </c>
      <c r="B16" s="1">
        <v>20.3</v>
      </c>
      <c r="C16" s="1">
        <f t="shared" si="0"/>
        <v>0.14439999999999653</v>
      </c>
      <c r="D16" s="1">
        <f t="shared" si="1"/>
        <v>8.5263999999998855E-2</v>
      </c>
      <c r="F16" t="s">
        <v>26</v>
      </c>
      <c r="G16">
        <f xml:space="preserve"> SQRT(G10^2 + G13^2)</f>
        <v>1.4460761075557322</v>
      </c>
    </row>
    <row r="17" spans="1:4" x14ac:dyDescent="0.45">
      <c r="A17" s="1">
        <v>18.5</v>
      </c>
      <c r="B17" s="1">
        <v>20.3</v>
      </c>
      <c r="C17" s="1">
        <f t="shared" si="0"/>
        <v>0.27040000000000325</v>
      </c>
      <c r="D17" s="1">
        <f t="shared" si="1"/>
        <v>8.5263999999998855E-2</v>
      </c>
    </row>
    <row r="18" spans="1:4" x14ac:dyDescent="0.45">
      <c r="A18" s="1">
        <v>18.600000000000001</v>
      </c>
      <c r="B18" s="1">
        <v>20.8</v>
      </c>
      <c r="C18" s="1">
        <f t="shared" si="0"/>
        <v>0.38440000000000563</v>
      </c>
      <c r="D18" s="1">
        <f t="shared" si="1"/>
        <v>0.62726399999999694</v>
      </c>
    </row>
    <row r="19" spans="1:4" x14ac:dyDescent="0.45">
      <c r="A19" s="1">
        <v>17.2</v>
      </c>
      <c r="B19" s="1">
        <v>19.399999999999999</v>
      </c>
      <c r="C19" s="1">
        <f t="shared" si="0"/>
        <v>0.60839999999999628</v>
      </c>
      <c r="D19" s="1">
        <f t="shared" si="1"/>
        <v>0.36966400000000499</v>
      </c>
    </row>
    <row r="20" spans="1:4" x14ac:dyDescent="0.45">
      <c r="A20" s="1">
        <v>17.100000000000001</v>
      </c>
      <c r="B20" s="1">
        <v>20.399999999999999</v>
      </c>
      <c r="C20" s="1">
        <f t="shared" si="0"/>
        <v>0.77439999999999198</v>
      </c>
      <c r="D20" s="1">
        <f t="shared" si="1"/>
        <v>0.1536639999999968</v>
      </c>
    </row>
    <row r="21" spans="1:4" x14ac:dyDescent="0.45">
      <c r="A21" s="1">
        <v>18.3</v>
      </c>
      <c r="B21" s="1">
        <v>20.9</v>
      </c>
      <c r="C21" s="1">
        <f t="shared" si="0"/>
        <v>0.10240000000000246</v>
      </c>
      <c r="D21" s="1">
        <f t="shared" si="1"/>
        <v>0.79566399999999271</v>
      </c>
    </row>
    <row r="22" spans="1:4" x14ac:dyDescent="0.45">
      <c r="A22" s="1">
        <v>18.3</v>
      </c>
      <c r="B22" s="1">
        <v>20.6</v>
      </c>
      <c r="C22" s="1">
        <f t="shared" si="0"/>
        <v>0.10240000000000246</v>
      </c>
      <c r="D22" s="1">
        <f t="shared" si="1"/>
        <v>0.3504639999999985</v>
      </c>
    </row>
    <row r="23" spans="1:4" x14ac:dyDescent="0.45">
      <c r="A23" s="1">
        <v>17.8</v>
      </c>
      <c r="B23" s="1">
        <v>20.9</v>
      </c>
      <c r="C23" s="1">
        <f t="shared" si="0"/>
        <v>3.2399999999998617E-2</v>
      </c>
      <c r="D23" s="1">
        <f t="shared" si="1"/>
        <v>0.79566399999999271</v>
      </c>
    </row>
    <row r="24" spans="1:4" x14ac:dyDescent="0.45">
      <c r="A24" s="1">
        <v>17.3</v>
      </c>
      <c r="B24" s="1">
        <v>19.5</v>
      </c>
      <c r="C24" s="1">
        <f t="shared" si="0"/>
        <v>0.46239999999999476</v>
      </c>
      <c r="D24" s="1">
        <f t="shared" si="1"/>
        <v>0.25806400000000274</v>
      </c>
    </row>
    <row r="25" spans="1:4" x14ac:dyDescent="0.45">
      <c r="A25" s="1">
        <v>17.3</v>
      </c>
      <c r="B25" s="1">
        <v>19.899999999999999</v>
      </c>
      <c r="C25" s="1">
        <f t="shared" si="0"/>
        <v>0.46239999999999476</v>
      </c>
      <c r="D25" s="1">
        <f t="shared" si="1"/>
        <v>1.1664000000000884E-2</v>
      </c>
    </row>
    <row r="26" spans="1:4" x14ac:dyDescent="0.45">
      <c r="A26" s="1">
        <v>18.399999999999999</v>
      </c>
      <c r="B26" s="1">
        <v>20.3</v>
      </c>
      <c r="C26" s="1">
        <f t="shared" si="0"/>
        <v>0.17640000000000144</v>
      </c>
      <c r="D26" s="1">
        <f t="shared" si="1"/>
        <v>8.5263999999998855E-2</v>
      </c>
    </row>
    <row r="27" spans="1:4" x14ac:dyDescent="0.45">
      <c r="A27" s="1">
        <v>17.399999999999999</v>
      </c>
      <c r="B27" s="1">
        <v>20.2</v>
      </c>
      <c r="C27" s="1">
        <f t="shared" si="0"/>
        <v>0.33639999999999803</v>
      </c>
      <c r="D27" s="1">
        <f t="shared" si="1"/>
        <v>3.6863999999998703E-2</v>
      </c>
    </row>
    <row r="28" spans="1:4" x14ac:dyDescent="0.45">
      <c r="A28" s="1">
        <v>17.2</v>
      </c>
      <c r="B28" s="1">
        <v>20</v>
      </c>
      <c r="C28" s="1">
        <f t="shared" si="0"/>
        <v>0.60839999999999628</v>
      </c>
      <c r="D28" s="1">
        <f t="shared" si="1"/>
        <v>6.4000000000042742E-5</v>
      </c>
    </row>
    <row r="29" spans="1:4" x14ac:dyDescent="0.45">
      <c r="A29" s="1">
        <v>18.899999999999999</v>
      </c>
      <c r="B29" s="1">
        <v>19.100000000000001</v>
      </c>
      <c r="C29" s="1">
        <f t="shared" si="0"/>
        <v>0.84640000000000315</v>
      </c>
      <c r="D29" s="1">
        <f t="shared" si="1"/>
        <v>0.82446400000000231</v>
      </c>
    </row>
    <row r="30" spans="1:4" x14ac:dyDescent="0.45">
      <c r="A30" s="1">
        <v>18.100000000000001</v>
      </c>
      <c r="B30" s="1">
        <v>20.2</v>
      </c>
      <c r="C30" s="1">
        <f t="shared" si="0"/>
        <v>1.4400000000001091E-2</v>
      </c>
      <c r="D30" s="1">
        <f t="shared" si="1"/>
        <v>3.6863999999998703E-2</v>
      </c>
    </row>
    <row r="31" spans="1:4" x14ac:dyDescent="0.45">
      <c r="A31" s="1">
        <v>18.7</v>
      </c>
      <c r="B31" s="1">
        <v>19.100000000000001</v>
      </c>
      <c r="C31" s="1">
        <f t="shared" si="0"/>
        <v>0.51840000000000352</v>
      </c>
      <c r="D31" s="1">
        <f t="shared" si="1"/>
        <v>0.82446400000000231</v>
      </c>
    </row>
    <row r="32" spans="1:4" x14ac:dyDescent="0.45">
      <c r="A32" s="1">
        <v>17.5</v>
      </c>
      <c r="B32" s="1">
        <v>19.5</v>
      </c>
      <c r="C32" s="1">
        <f t="shared" si="0"/>
        <v>0.230399999999997</v>
      </c>
      <c r="D32" s="1">
        <f t="shared" si="1"/>
        <v>0.25806400000000274</v>
      </c>
    </row>
    <row r="33" spans="1:4" x14ac:dyDescent="0.45">
      <c r="A33" s="1">
        <v>18.899999999999999</v>
      </c>
      <c r="B33" s="1">
        <v>19.600000000000001</v>
      </c>
      <c r="C33" s="1">
        <f t="shared" si="0"/>
        <v>0.84640000000000315</v>
      </c>
      <c r="D33" s="1">
        <f t="shared" si="1"/>
        <v>0.16646400000000103</v>
      </c>
    </row>
    <row r="34" spans="1:4" x14ac:dyDescent="0.45">
      <c r="A34" s="1">
        <v>18.399999999999999</v>
      </c>
      <c r="B34" s="1">
        <v>20.399999999999999</v>
      </c>
      <c r="C34" s="1">
        <f t="shared" si="0"/>
        <v>0.17640000000000144</v>
      </c>
      <c r="D34" s="1">
        <f t="shared" si="1"/>
        <v>0.1536639999999968</v>
      </c>
    </row>
    <row r="35" spans="1:4" x14ac:dyDescent="0.45">
      <c r="A35" s="1">
        <v>17.5</v>
      </c>
      <c r="B35" s="1">
        <v>20</v>
      </c>
      <c r="C35" s="1">
        <f t="shared" si="0"/>
        <v>0.230399999999997</v>
      </c>
      <c r="D35" s="1">
        <f t="shared" si="1"/>
        <v>6.4000000000042742E-5</v>
      </c>
    </row>
    <row r="36" spans="1:4" x14ac:dyDescent="0.45">
      <c r="A36" s="1">
        <v>17.3</v>
      </c>
      <c r="B36" s="1">
        <v>19.8</v>
      </c>
      <c r="C36" s="1">
        <f t="shared" si="0"/>
        <v>0.46239999999999476</v>
      </c>
      <c r="D36" s="1">
        <f t="shared" si="1"/>
        <v>4.3264000000000816E-2</v>
      </c>
    </row>
    <row r="37" spans="1:4" x14ac:dyDescent="0.45">
      <c r="A37" s="1">
        <v>18</v>
      </c>
      <c r="B37" s="1">
        <v>21</v>
      </c>
      <c r="C37" s="1">
        <f t="shared" si="0"/>
        <v>4.0000000000012508E-4</v>
      </c>
      <c r="D37" s="1">
        <f t="shared" si="1"/>
        <v>0.98406399999999472</v>
      </c>
    </row>
    <row r="38" spans="1:4" x14ac:dyDescent="0.45">
      <c r="A38" s="1">
        <v>18.5</v>
      </c>
      <c r="B38" s="1">
        <v>20.100000000000001</v>
      </c>
      <c r="C38" s="1">
        <f t="shared" si="0"/>
        <v>0.27040000000000325</v>
      </c>
      <c r="D38" s="1">
        <f t="shared" si="1"/>
        <v>8.4639999999997703E-3</v>
      </c>
    </row>
    <row r="39" spans="1:4" x14ac:dyDescent="0.45">
      <c r="A39" s="1">
        <v>18.3</v>
      </c>
      <c r="B39" s="1">
        <v>19.5</v>
      </c>
      <c r="C39" s="1">
        <f t="shared" si="0"/>
        <v>0.10240000000000246</v>
      </c>
      <c r="D39" s="1">
        <f t="shared" si="1"/>
        <v>0.25806400000000274</v>
      </c>
    </row>
    <row r="40" spans="1:4" x14ac:dyDescent="0.45">
      <c r="A40" s="1">
        <v>18</v>
      </c>
      <c r="B40" s="1">
        <v>19.600000000000001</v>
      </c>
      <c r="C40" s="1">
        <f t="shared" si="0"/>
        <v>4.0000000000012508E-4</v>
      </c>
      <c r="D40" s="1">
        <f t="shared" si="1"/>
        <v>0.16646400000000103</v>
      </c>
    </row>
    <row r="41" spans="1:4" x14ac:dyDescent="0.45">
      <c r="A41" s="1">
        <v>18.7</v>
      </c>
      <c r="B41" s="1">
        <v>21</v>
      </c>
      <c r="C41" s="1">
        <f t="shared" si="0"/>
        <v>0.51840000000000352</v>
      </c>
      <c r="D41" s="1">
        <f t="shared" si="1"/>
        <v>0.98406399999999472</v>
      </c>
    </row>
    <row r="42" spans="1:4" x14ac:dyDescent="0.45">
      <c r="A42" s="1">
        <v>17.3</v>
      </c>
      <c r="B42" s="1">
        <v>19.600000000000001</v>
      </c>
      <c r="C42" s="1">
        <f t="shared" si="0"/>
        <v>0.46239999999999476</v>
      </c>
      <c r="D42" s="1">
        <f t="shared" si="1"/>
        <v>0.16646400000000103</v>
      </c>
    </row>
    <row r="43" spans="1:4" x14ac:dyDescent="0.45">
      <c r="A43" s="1">
        <v>18.600000000000001</v>
      </c>
      <c r="B43" s="1">
        <v>20.9</v>
      </c>
      <c r="C43" s="1">
        <f t="shared" si="0"/>
        <v>0.38440000000000563</v>
      </c>
      <c r="D43" s="1">
        <f t="shared" si="1"/>
        <v>0.79566399999999271</v>
      </c>
    </row>
    <row r="44" spans="1:4" x14ac:dyDescent="0.45">
      <c r="A44" s="1">
        <v>17.8</v>
      </c>
      <c r="B44" s="1">
        <v>20.399999999999999</v>
      </c>
      <c r="C44" s="1">
        <f t="shared" si="0"/>
        <v>3.2399999999998617E-2</v>
      </c>
      <c r="D44" s="1">
        <f t="shared" si="1"/>
        <v>0.1536639999999968</v>
      </c>
    </row>
    <row r="45" spans="1:4" x14ac:dyDescent="0.45">
      <c r="A45" s="1">
        <v>18.399999999999999</v>
      </c>
      <c r="B45" s="1">
        <v>19.8</v>
      </c>
      <c r="C45" s="1">
        <f t="shared" si="0"/>
        <v>0.17640000000000144</v>
      </c>
      <c r="D45" s="1">
        <f t="shared" si="1"/>
        <v>4.3264000000000816E-2</v>
      </c>
    </row>
    <row r="46" spans="1:4" x14ac:dyDescent="0.45">
      <c r="A46" s="1">
        <v>17.899999999999999</v>
      </c>
      <c r="B46" s="1">
        <v>20.7</v>
      </c>
      <c r="C46" s="1">
        <f t="shared" si="0"/>
        <v>6.3999999999997271E-3</v>
      </c>
      <c r="D46" s="1">
        <f t="shared" si="1"/>
        <v>0.47886399999999529</v>
      </c>
    </row>
    <row r="47" spans="1:4" x14ac:dyDescent="0.45">
      <c r="A47" s="1">
        <v>18.7</v>
      </c>
      <c r="B47" s="1">
        <v>19.100000000000001</v>
      </c>
      <c r="C47" s="1">
        <f t="shared" si="0"/>
        <v>0.51840000000000352</v>
      </c>
      <c r="D47" s="1">
        <f t="shared" si="1"/>
        <v>0.82446400000000231</v>
      </c>
    </row>
    <row r="48" spans="1:4" x14ac:dyDescent="0.45">
      <c r="A48" s="1">
        <v>18.8</v>
      </c>
      <c r="B48" s="1">
        <v>19.100000000000001</v>
      </c>
      <c r="C48" s="1">
        <f t="shared" si="0"/>
        <v>0.67240000000000633</v>
      </c>
      <c r="D48" s="1">
        <f t="shared" si="1"/>
        <v>0.82446400000000231</v>
      </c>
    </row>
    <row r="49" spans="1:4" x14ac:dyDescent="0.45">
      <c r="A49" s="1">
        <v>17.5</v>
      </c>
      <c r="B49" s="1">
        <v>21</v>
      </c>
      <c r="C49" s="1">
        <f t="shared" si="0"/>
        <v>0.230399999999997</v>
      </c>
      <c r="D49" s="1">
        <f t="shared" si="1"/>
        <v>0.98406399999999472</v>
      </c>
    </row>
    <row r="50" spans="1:4" x14ac:dyDescent="0.45">
      <c r="A50" s="1">
        <v>17.2</v>
      </c>
      <c r="B50" s="1">
        <v>20.2</v>
      </c>
      <c r="C50" s="1">
        <f t="shared" si="0"/>
        <v>0.60839999999999628</v>
      </c>
      <c r="D50" s="1">
        <f t="shared" si="1"/>
        <v>3.6863999999998703E-2</v>
      </c>
    </row>
    <row r="51" spans="1:4" x14ac:dyDescent="0.45">
      <c r="A51" s="1">
        <v>17.399999999999999</v>
      </c>
      <c r="B51" s="1">
        <v>20.399999999999999</v>
      </c>
      <c r="C51" s="1">
        <f t="shared" si="0"/>
        <v>0.33639999999999803</v>
      </c>
      <c r="D51" s="1">
        <f t="shared" si="1"/>
        <v>0.1536639999999968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1"/>
  <sheetViews>
    <sheetView workbookViewId="0">
      <selection activeCell="G15" sqref="G15"/>
    </sheetView>
  </sheetViews>
  <sheetFormatPr baseColWidth="10" defaultRowHeight="14.25" x14ac:dyDescent="0.45"/>
  <cols>
    <col min="1" max="1" width="25.6640625" bestFit="1" customWidth="1"/>
    <col min="2" max="2" width="27.1328125" bestFit="1" customWidth="1"/>
    <col min="6" max="6" width="15.53125" customWidth="1"/>
  </cols>
  <sheetData>
    <row r="1" spans="1:10" x14ac:dyDescent="0.45">
      <c r="A1" t="s">
        <v>0</v>
      </c>
      <c r="B1" t="s">
        <v>1</v>
      </c>
    </row>
    <row r="2" spans="1:10" x14ac:dyDescent="0.45">
      <c r="A2">
        <v>17.100000000000001</v>
      </c>
      <c r="B2">
        <v>18.899999999999999</v>
      </c>
      <c r="C2">
        <f>(A2-$G$3)^2</f>
        <v>0.91776399999999014</v>
      </c>
      <c r="D2">
        <f>(B2-$G$4)^2</f>
        <v>1.5227560000000044</v>
      </c>
    </row>
    <row r="3" spans="1:10" x14ac:dyDescent="0.45">
      <c r="A3">
        <v>17.7</v>
      </c>
      <c r="B3">
        <v>20.7</v>
      </c>
      <c r="C3">
        <f t="shared" ref="C3:C51" si="0">(A3-$G$3)^2</f>
        <v>0.12816399999999784</v>
      </c>
      <c r="D3">
        <f t="shared" ref="D3:D51" si="1">(B3-$G$4)^2</f>
        <v>0.32035599999999881</v>
      </c>
      <c r="F3" t="s">
        <v>2</v>
      </c>
      <c r="G3">
        <f xml:space="preserve"> AVERAGE(A:A)</f>
        <v>18.057999999999996</v>
      </c>
      <c r="I3" t="s">
        <v>15</v>
      </c>
      <c r="J3">
        <v>50</v>
      </c>
    </row>
    <row r="4" spans="1:10" x14ac:dyDescent="0.45">
      <c r="A4">
        <v>18.2</v>
      </c>
      <c r="B4">
        <v>20.6</v>
      </c>
      <c r="C4">
        <f t="shared" si="0"/>
        <v>2.0164000000000855E-2</v>
      </c>
      <c r="D4">
        <f t="shared" si="1"/>
        <v>0.21715600000000101</v>
      </c>
      <c r="F4" t="s">
        <v>3</v>
      </c>
      <c r="G4">
        <f>AVERAGE(B:B)</f>
        <v>20.134</v>
      </c>
    </row>
    <row r="5" spans="1:10" x14ac:dyDescent="0.45">
      <c r="A5">
        <v>18.3</v>
      </c>
      <c r="B5">
        <v>20.7</v>
      </c>
      <c r="C5">
        <f t="shared" si="0"/>
        <v>5.8564000000002149E-2</v>
      </c>
      <c r="D5">
        <f t="shared" si="1"/>
        <v>0.32035599999999881</v>
      </c>
    </row>
    <row r="6" spans="1:10" x14ac:dyDescent="0.45">
      <c r="A6">
        <v>17.5</v>
      </c>
      <c r="B6">
        <v>20.9</v>
      </c>
      <c r="C6">
        <f t="shared" si="0"/>
        <v>0.31136399999999587</v>
      </c>
      <c r="D6">
        <f t="shared" si="1"/>
        <v>0.58675599999999728</v>
      </c>
      <c r="F6" t="s">
        <v>25</v>
      </c>
      <c r="G6">
        <f>SQRT(SUM(C:C)/(J3-1))</f>
        <v>0.6204310548945392</v>
      </c>
    </row>
    <row r="7" spans="1:10" x14ac:dyDescent="0.45">
      <c r="A7">
        <v>17.899999999999999</v>
      </c>
      <c r="B7">
        <v>20.7</v>
      </c>
      <c r="C7">
        <f t="shared" si="0"/>
        <v>2.4963999999999271E-2</v>
      </c>
      <c r="D7">
        <f t="shared" si="1"/>
        <v>0.32035599999999881</v>
      </c>
      <c r="F7" t="s">
        <v>18</v>
      </c>
      <c r="G7">
        <f>SQRT(SUM(D:D)/(J3-1))</f>
        <v>0.56770573003834246</v>
      </c>
    </row>
    <row r="8" spans="1:10" x14ac:dyDescent="0.45">
      <c r="A8">
        <v>17.2</v>
      </c>
      <c r="B8">
        <v>20.399999999999999</v>
      </c>
      <c r="C8">
        <f t="shared" si="0"/>
        <v>0.73616399999999482</v>
      </c>
      <c r="D8">
        <f t="shared" si="1"/>
        <v>7.0755999999999056E-2</v>
      </c>
    </row>
    <row r="9" spans="1:10" x14ac:dyDescent="0.45">
      <c r="A9">
        <v>18.2</v>
      </c>
      <c r="B9">
        <v>20.100000000000001</v>
      </c>
      <c r="C9">
        <f t="shared" si="0"/>
        <v>2.0164000000000855E-2</v>
      </c>
      <c r="D9">
        <f t="shared" si="1"/>
        <v>1.1559999999999266E-3</v>
      </c>
      <c r="F9" t="s">
        <v>19</v>
      </c>
      <c r="G9">
        <f xml:space="preserve"> (5/2)/SQRT(3)</f>
        <v>1.4433756729740645</v>
      </c>
    </row>
    <row r="10" spans="1:10" x14ac:dyDescent="0.45">
      <c r="A10">
        <v>17.899999999999999</v>
      </c>
      <c r="B10">
        <v>20.3</v>
      </c>
      <c r="C10">
        <f t="shared" si="0"/>
        <v>2.4963999999999271E-2</v>
      </c>
      <c r="D10">
        <f t="shared" si="1"/>
        <v>2.7556000000000122E-2</v>
      </c>
      <c r="F10" t="s">
        <v>19</v>
      </c>
      <c r="G10">
        <f xml:space="preserve"> (5/2)/SQRT(3)</f>
        <v>1.4433756729740645</v>
      </c>
    </row>
    <row r="11" spans="1:10" x14ac:dyDescent="0.45">
      <c r="A11">
        <v>17.3</v>
      </c>
      <c r="B11">
        <v>20.6</v>
      </c>
      <c r="C11">
        <f t="shared" si="0"/>
        <v>0.5745639999999933</v>
      </c>
      <c r="D11">
        <f t="shared" si="1"/>
        <v>0.21715600000000101</v>
      </c>
    </row>
    <row r="12" spans="1:10" x14ac:dyDescent="0.45">
      <c r="A12">
        <v>17.2</v>
      </c>
      <c r="B12">
        <v>20.8</v>
      </c>
      <c r="C12">
        <f t="shared" si="0"/>
        <v>0.73616399999999482</v>
      </c>
      <c r="D12">
        <f t="shared" si="1"/>
        <v>0.44355600000000051</v>
      </c>
      <c r="F12" t="s">
        <v>21</v>
      </c>
      <c r="G12">
        <f>G6/SQRT(J3)</f>
        <v>8.7742201234930359E-2</v>
      </c>
    </row>
    <row r="13" spans="1:10" x14ac:dyDescent="0.45">
      <c r="A13">
        <v>18</v>
      </c>
      <c r="B13">
        <v>20.100000000000001</v>
      </c>
      <c r="C13">
        <f t="shared" si="0"/>
        <v>3.3639999999995683E-3</v>
      </c>
      <c r="D13">
        <f t="shared" si="1"/>
        <v>1.1559999999999266E-3</v>
      </c>
      <c r="F13" t="s">
        <v>22</v>
      </c>
      <c r="G13">
        <f xml:space="preserve"> G7/SQRT(J3)</f>
        <v>8.028571428571428E-2</v>
      </c>
    </row>
    <row r="14" spans="1:10" x14ac:dyDescent="0.45">
      <c r="A14">
        <v>17.8</v>
      </c>
      <c r="B14">
        <v>19.2</v>
      </c>
      <c r="C14">
        <f t="shared" si="0"/>
        <v>6.6563999999997708E-2</v>
      </c>
      <c r="D14">
        <f t="shared" si="1"/>
        <v>0.87235600000000202</v>
      </c>
    </row>
    <row r="15" spans="1:10" x14ac:dyDescent="0.45">
      <c r="A15">
        <v>18.8</v>
      </c>
      <c r="B15">
        <v>20.2</v>
      </c>
      <c r="C15">
        <f t="shared" si="0"/>
        <v>0.5505640000000066</v>
      </c>
      <c r="D15">
        <f t="shared" si="1"/>
        <v>4.3559999999998609E-3</v>
      </c>
      <c r="F15" t="s">
        <v>23</v>
      </c>
      <c r="G15">
        <f xml:space="preserve"> SQRT( G9^2 + G12^2)</f>
        <v>1.4460401195025279</v>
      </c>
    </row>
    <row r="16" spans="1:10" x14ac:dyDescent="0.45">
      <c r="A16">
        <v>18.899999999999999</v>
      </c>
      <c r="B16">
        <v>19.600000000000001</v>
      </c>
      <c r="C16">
        <f t="shared" si="0"/>
        <v>0.70896400000000392</v>
      </c>
      <c r="D16">
        <f t="shared" si="1"/>
        <v>0.28515599999999885</v>
      </c>
      <c r="F16" t="s">
        <v>24</v>
      </c>
      <c r="G16">
        <f xml:space="preserve"> SQRT(G10^2 + G13^2)</f>
        <v>1.4456068377161548</v>
      </c>
    </row>
    <row r="17" spans="1:4" x14ac:dyDescent="0.45">
      <c r="A17">
        <v>19</v>
      </c>
      <c r="B17">
        <v>19.3</v>
      </c>
      <c r="C17">
        <f t="shared" si="0"/>
        <v>0.88736400000000704</v>
      </c>
      <c r="D17">
        <f t="shared" si="1"/>
        <v>0.6955559999999994</v>
      </c>
    </row>
    <row r="18" spans="1:4" x14ac:dyDescent="0.45">
      <c r="A18">
        <v>17.3</v>
      </c>
      <c r="B18">
        <v>20.6</v>
      </c>
      <c r="C18">
        <f t="shared" si="0"/>
        <v>0.5745639999999933</v>
      </c>
      <c r="D18">
        <f t="shared" si="1"/>
        <v>0.21715600000000101</v>
      </c>
    </row>
    <row r="19" spans="1:4" x14ac:dyDescent="0.45">
      <c r="A19">
        <v>18.7</v>
      </c>
      <c r="B19">
        <v>20.8</v>
      </c>
      <c r="C19">
        <f t="shared" si="0"/>
        <v>0.41216400000000386</v>
      </c>
      <c r="D19">
        <f t="shared" si="1"/>
        <v>0.44355600000000051</v>
      </c>
    </row>
    <row r="20" spans="1:4" x14ac:dyDescent="0.45">
      <c r="A20">
        <v>17.399999999999999</v>
      </c>
      <c r="B20">
        <v>19.3</v>
      </c>
      <c r="C20">
        <f t="shared" si="0"/>
        <v>0.43296399999999696</v>
      </c>
      <c r="D20">
        <f t="shared" si="1"/>
        <v>0.6955559999999994</v>
      </c>
    </row>
    <row r="21" spans="1:4" x14ac:dyDescent="0.45">
      <c r="A21">
        <v>17.5</v>
      </c>
      <c r="B21">
        <v>20.6</v>
      </c>
      <c r="C21">
        <f t="shared" si="0"/>
        <v>0.31136399999999587</v>
      </c>
      <c r="D21">
        <f t="shared" si="1"/>
        <v>0.21715600000000101</v>
      </c>
    </row>
    <row r="22" spans="1:4" x14ac:dyDescent="0.45">
      <c r="A22">
        <v>18.399999999999999</v>
      </c>
      <c r="B22">
        <v>19.899999999999999</v>
      </c>
      <c r="C22">
        <f t="shared" si="0"/>
        <v>0.11696400000000158</v>
      </c>
      <c r="D22">
        <f t="shared" si="1"/>
        <v>5.4756000000000825E-2</v>
      </c>
    </row>
    <row r="23" spans="1:4" x14ac:dyDescent="0.45">
      <c r="A23">
        <v>17.399999999999999</v>
      </c>
      <c r="B23">
        <v>20.399999999999999</v>
      </c>
      <c r="C23">
        <f t="shared" si="0"/>
        <v>0.43296399999999696</v>
      </c>
      <c r="D23">
        <f t="shared" si="1"/>
        <v>7.0755999999999056E-2</v>
      </c>
    </row>
    <row r="24" spans="1:4" x14ac:dyDescent="0.45">
      <c r="A24">
        <v>17.600000000000001</v>
      </c>
      <c r="B24">
        <v>20.2</v>
      </c>
      <c r="C24">
        <f t="shared" si="0"/>
        <v>0.20976399999999529</v>
      </c>
      <c r="D24">
        <f t="shared" si="1"/>
        <v>4.3559999999998609E-3</v>
      </c>
    </row>
    <row r="25" spans="1:4" x14ac:dyDescent="0.45">
      <c r="A25">
        <v>17.2</v>
      </c>
      <c r="B25">
        <v>19.100000000000001</v>
      </c>
      <c r="C25">
        <f t="shared" si="0"/>
        <v>0.73616399999999482</v>
      </c>
      <c r="D25">
        <f t="shared" si="1"/>
        <v>1.0691559999999978</v>
      </c>
    </row>
    <row r="26" spans="1:4" x14ac:dyDescent="0.45">
      <c r="A26">
        <v>18.899999999999999</v>
      </c>
      <c r="B26">
        <v>19.8</v>
      </c>
      <c r="C26">
        <f t="shared" si="0"/>
        <v>0.70896400000000392</v>
      </c>
      <c r="D26">
        <f t="shared" si="1"/>
        <v>0.11155599999999975</v>
      </c>
    </row>
    <row r="27" spans="1:4" x14ac:dyDescent="0.45">
      <c r="A27">
        <v>18.399999999999999</v>
      </c>
      <c r="B27">
        <v>19.5</v>
      </c>
      <c r="C27">
        <f t="shared" si="0"/>
        <v>0.11696400000000158</v>
      </c>
      <c r="D27">
        <f t="shared" si="1"/>
        <v>0.40195600000000042</v>
      </c>
    </row>
    <row r="28" spans="1:4" x14ac:dyDescent="0.45">
      <c r="A28">
        <v>18.5</v>
      </c>
      <c r="B28">
        <v>19.8</v>
      </c>
      <c r="C28">
        <f t="shared" si="0"/>
        <v>0.19536400000000329</v>
      </c>
      <c r="D28">
        <f t="shared" si="1"/>
        <v>0.11155599999999975</v>
      </c>
    </row>
    <row r="29" spans="1:4" x14ac:dyDescent="0.45">
      <c r="A29">
        <v>18.8</v>
      </c>
      <c r="B29">
        <v>20.5</v>
      </c>
      <c r="C29">
        <f t="shared" si="0"/>
        <v>0.5505640000000066</v>
      </c>
      <c r="D29">
        <f t="shared" si="1"/>
        <v>0.13395599999999974</v>
      </c>
    </row>
    <row r="30" spans="1:4" x14ac:dyDescent="0.45">
      <c r="A30">
        <v>18.7</v>
      </c>
      <c r="B30">
        <v>20.100000000000001</v>
      </c>
      <c r="C30">
        <f t="shared" si="0"/>
        <v>0.41216400000000386</v>
      </c>
      <c r="D30">
        <f t="shared" si="1"/>
        <v>1.1559999999999266E-3</v>
      </c>
    </row>
    <row r="31" spans="1:4" x14ac:dyDescent="0.45">
      <c r="A31">
        <v>17.399999999999999</v>
      </c>
      <c r="B31">
        <v>21</v>
      </c>
      <c r="C31">
        <f t="shared" si="0"/>
        <v>0.43296399999999696</v>
      </c>
      <c r="D31">
        <f t="shared" si="1"/>
        <v>0.7499559999999994</v>
      </c>
    </row>
    <row r="32" spans="1:4" x14ac:dyDescent="0.45">
      <c r="A32">
        <v>17.2</v>
      </c>
      <c r="B32">
        <v>20.5</v>
      </c>
      <c r="C32">
        <f t="shared" si="0"/>
        <v>0.73616399999999482</v>
      </c>
      <c r="D32">
        <f t="shared" si="1"/>
        <v>0.13395599999999974</v>
      </c>
    </row>
    <row r="33" spans="1:4" x14ac:dyDescent="0.45">
      <c r="A33">
        <v>18.600000000000001</v>
      </c>
      <c r="B33">
        <v>20</v>
      </c>
      <c r="C33">
        <f t="shared" si="0"/>
        <v>0.29376400000000558</v>
      </c>
      <c r="D33">
        <f t="shared" si="1"/>
        <v>1.795600000000009E-2</v>
      </c>
    </row>
    <row r="34" spans="1:4" x14ac:dyDescent="0.45">
      <c r="A34">
        <v>18.399999999999999</v>
      </c>
      <c r="B34">
        <v>19.5</v>
      </c>
      <c r="C34">
        <f t="shared" si="0"/>
        <v>0.11696400000000158</v>
      </c>
      <c r="D34">
        <f t="shared" si="1"/>
        <v>0.40195600000000042</v>
      </c>
    </row>
    <row r="35" spans="1:4" x14ac:dyDescent="0.45">
      <c r="A35">
        <v>18.7</v>
      </c>
      <c r="B35">
        <v>19.8</v>
      </c>
      <c r="C35">
        <f t="shared" si="0"/>
        <v>0.41216400000000386</v>
      </c>
      <c r="D35">
        <f t="shared" si="1"/>
        <v>0.11155599999999975</v>
      </c>
    </row>
    <row r="36" spans="1:4" x14ac:dyDescent="0.45">
      <c r="A36">
        <v>19</v>
      </c>
      <c r="B36">
        <v>20.7</v>
      </c>
      <c r="C36">
        <f t="shared" si="0"/>
        <v>0.88736400000000704</v>
      </c>
      <c r="D36">
        <f t="shared" si="1"/>
        <v>0.32035599999999881</v>
      </c>
    </row>
    <row r="37" spans="1:4" x14ac:dyDescent="0.45">
      <c r="A37">
        <v>17.899999999999999</v>
      </c>
      <c r="B37">
        <v>19.600000000000001</v>
      </c>
      <c r="C37">
        <f t="shared" si="0"/>
        <v>2.4963999999999271E-2</v>
      </c>
      <c r="D37">
        <f t="shared" si="1"/>
        <v>0.28515599999999885</v>
      </c>
    </row>
    <row r="38" spans="1:4" x14ac:dyDescent="0.45">
      <c r="A38">
        <v>17.3</v>
      </c>
      <c r="B38">
        <v>20</v>
      </c>
      <c r="C38">
        <f t="shared" si="0"/>
        <v>0.5745639999999933</v>
      </c>
      <c r="D38">
        <f t="shared" si="1"/>
        <v>1.795600000000009E-2</v>
      </c>
    </row>
    <row r="39" spans="1:4" x14ac:dyDescent="0.45">
      <c r="A39">
        <v>18.899999999999999</v>
      </c>
      <c r="B39">
        <v>20.5</v>
      </c>
      <c r="C39">
        <f t="shared" si="0"/>
        <v>0.70896400000000392</v>
      </c>
      <c r="D39">
        <f t="shared" si="1"/>
        <v>0.13395599999999974</v>
      </c>
    </row>
    <row r="40" spans="1:4" x14ac:dyDescent="0.45">
      <c r="A40">
        <v>18.899999999999999</v>
      </c>
      <c r="B40">
        <v>20.7</v>
      </c>
      <c r="C40">
        <f t="shared" si="0"/>
        <v>0.70896400000000392</v>
      </c>
      <c r="D40">
        <f t="shared" si="1"/>
        <v>0.32035599999999881</v>
      </c>
    </row>
    <row r="41" spans="1:4" x14ac:dyDescent="0.45">
      <c r="A41">
        <v>18.5</v>
      </c>
      <c r="B41">
        <v>20.6</v>
      </c>
      <c r="C41">
        <f t="shared" si="0"/>
        <v>0.19536400000000329</v>
      </c>
      <c r="D41">
        <f t="shared" si="1"/>
        <v>0.21715600000000101</v>
      </c>
    </row>
    <row r="42" spans="1:4" x14ac:dyDescent="0.45">
      <c r="A42">
        <v>17.899999999999999</v>
      </c>
      <c r="B42">
        <v>19.8</v>
      </c>
      <c r="C42">
        <f t="shared" si="0"/>
        <v>2.4963999999999271E-2</v>
      </c>
      <c r="D42">
        <f t="shared" si="1"/>
        <v>0.11155599999999975</v>
      </c>
    </row>
    <row r="43" spans="1:4" x14ac:dyDescent="0.45">
      <c r="A43">
        <v>17.600000000000001</v>
      </c>
      <c r="B43">
        <v>20.9</v>
      </c>
      <c r="C43">
        <f t="shared" si="0"/>
        <v>0.20976399999999529</v>
      </c>
      <c r="D43">
        <f t="shared" si="1"/>
        <v>0.58675599999999728</v>
      </c>
    </row>
    <row r="44" spans="1:4" x14ac:dyDescent="0.45">
      <c r="A44">
        <v>17.8</v>
      </c>
      <c r="B44">
        <v>20.100000000000001</v>
      </c>
      <c r="C44">
        <f t="shared" si="0"/>
        <v>6.6563999999997708E-2</v>
      </c>
      <c r="D44">
        <f t="shared" si="1"/>
        <v>1.1559999999999266E-3</v>
      </c>
    </row>
    <row r="45" spans="1:4" x14ac:dyDescent="0.45">
      <c r="A45">
        <v>17.100000000000001</v>
      </c>
      <c r="B45">
        <v>20.8</v>
      </c>
      <c r="C45">
        <f t="shared" si="0"/>
        <v>0.91776399999999014</v>
      </c>
      <c r="D45">
        <f t="shared" si="1"/>
        <v>0.44355600000000051</v>
      </c>
    </row>
    <row r="46" spans="1:4" x14ac:dyDescent="0.45">
      <c r="A46">
        <v>18.399999999999999</v>
      </c>
      <c r="B46">
        <v>19.399999999999999</v>
      </c>
      <c r="C46">
        <f t="shared" si="0"/>
        <v>0.11696400000000158</v>
      </c>
      <c r="D46">
        <f t="shared" si="1"/>
        <v>0.53875600000000257</v>
      </c>
    </row>
    <row r="47" spans="1:4" x14ac:dyDescent="0.45">
      <c r="A47">
        <v>18.7</v>
      </c>
      <c r="B47">
        <v>20.7</v>
      </c>
      <c r="C47">
        <f t="shared" si="0"/>
        <v>0.41216400000000386</v>
      </c>
      <c r="D47">
        <f t="shared" si="1"/>
        <v>0.32035599999999881</v>
      </c>
    </row>
    <row r="48" spans="1:4" x14ac:dyDescent="0.45">
      <c r="A48">
        <v>17.8</v>
      </c>
      <c r="B48">
        <v>19.2</v>
      </c>
      <c r="C48">
        <f t="shared" si="0"/>
        <v>6.6563999999997708E-2</v>
      </c>
      <c r="D48">
        <f t="shared" si="1"/>
        <v>0.87235600000000202</v>
      </c>
    </row>
    <row r="49" spans="1:4" x14ac:dyDescent="0.45">
      <c r="A49">
        <v>18.2</v>
      </c>
      <c r="B49">
        <v>20</v>
      </c>
      <c r="C49">
        <f t="shared" si="0"/>
        <v>2.0164000000000855E-2</v>
      </c>
      <c r="D49">
        <f t="shared" si="1"/>
        <v>1.795600000000009E-2</v>
      </c>
    </row>
    <row r="50" spans="1:4" x14ac:dyDescent="0.45">
      <c r="A50">
        <v>19</v>
      </c>
      <c r="B50">
        <v>19.899999999999999</v>
      </c>
      <c r="C50">
        <f t="shared" si="0"/>
        <v>0.88736400000000704</v>
      </c>
      <c r="D50">
        <f t="shared" si="1"/>
        <v>5.4756000000000825E-2</v>
      </c>
    </row>
    <row r="51" spans="1:4" x14ac:dyDescent="0.45">
      <c r="A51">
        <v>17.8</v>
      </c>
      <c r="B51">
        <v>19.3</v>
      </c>
      <c r="C51">
        <f t="shared" si="0"/>
        <v>6.6563999999997708E-2</v>
      </c>
      <c r="D51">
        <f t="shared" si="1"/>
        <v>0.6955559999999994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1"/>
  <sheetViews>
    <sheetView workbookViewId="0">
      <selection activeCell="H14" sqref="H14"/>
    </sheetView>
  </sheetViews>
  <sheetFormatPr baseColWidth="10" defaultRowHeight="14.25" x14ac:dyDescent="0.45"/>
  <cols>
    <col min="1" max="1" width="25.6640625" bestFit="1" customWidth="1"/>
    <col min="2" max="2" width="27.1328125" bestFit="1" customWidth="1"/>
    <col min="6" max="6" width="16.9296875" customWidth="1"/>
  </cols>
  <sheetData>
    <row r="1" spans="1:10" x14ac:dyDescent="0.45">
      <c r="A1" t="s">
        <v>0</v>
      </c>
      <c r="B1" t="s">
        <v>1</v>
      </c>
    </row>
    <row r="2" spans="1:10" x14ac:dyDescent="0.45">
      <c r="A2" s="1">
        <v>18.7</v>
      </c>
      <c r="B2">
        <v>18.600000000000001</v>
      </c>
      <c r="C2" s="1">
        <f>(A2-$G$3)^2</f>
        <v>0.34339600000000242</v>
      </c>
      <c r="D2">
        <f>(B2-$G$4)^2</f>
        <v>1.9881000000000004</v>
      </c>
    </row>
    <row r="3" spans="1:10" x14ac:dyDescent="0.45">
      <c r="A3" s="1">
        <v>17.600000000000001</v>
      </c>
      <c r="B3">
        <v>20.7</v>
      </c>
      <c r="C3" s="1">
        <f t="shared" ref="C3:C51" si="0">(A3-$G$3)^2</f>
        <v>0.26419599999999566</v>
      </c>
      <c r="D3">
        <f t="shared" ref="D3:D51" si="1">(B3-$G$4)^2</f>
        <v>0.47609999999999686</v>
      </c>
      <c r="F3" t="s">
        <v>27</v>
      </c>
      <c r="G3">
        <f xml:space="preserve"> AVERAGE(A:A)</f>
        <v>18.113999999999997</v>
      </c>
      <c r="I3" t="s">
        <v>15</v>
      </c>
      <c r="J3">
        <v>50</v>
      </c>
    </row>
    <row r="4" spans="1:10" x14ac:dyDescent="0.45">
      <c r="A4" s="1">
        <v>17.399999999999999</v>
      </c>
      <c r="B4">
        <v>19.3</v>
      </c>
      <c r="C4" s="1">
        <f t="shared" si="0"/>
        <v>0.50979599999999803</v>
      </c>
      <c r="D4">
        <f t="shared" si="1"/>
        <v>0.50410000000000121</v>
      </c>
      <c r="F4" t="s">
        <v>28</v>
      </c>
      <c r="G4">
        <f>AVERAGE(B:B)</f>
        <v>20.010000000000002</v>
      </c>
    </row>
    <row r="5" spans="1:10" x14ac:dyDescent="0.45">
      <c r="A5" s="1">
        <v>18.8</v>
      </c>
      <c r="B5">
        <v>20</v>
      </c>
      <c r="C5" s="1">
        <f t="shared" si="0"/>
        <v>0.47059600000000479</v>
      </c>
      <c r="D5">
        <f t="shared" si="1"/>
        <v>1.0000000000003127E-4</v>
      </c>
    </row>
    <row r="6" spans="1:10" x14ac:dyDescent="0.45">
      <c r="A6" s="1">
        <v>18.5</v>
      </c>
      <c r="B6">
        <v>19.3</v>
      </c>
      <c r="C6" s="1">
        <f t="shared" si="0"/>
        <v>0.14899600000000215</v>
      </c>
      <c r="D6">
        <f t="shared" si="1"/>
        <v>0.50410000000000121</v>
      </c>
      <c r="F6" t="s">
        <v>29</v>
      </c>
      <c r="G6">
        <f xml:space="preserve"> SQRT(SUM(C:C)/(J3-1))</f>
        <v>0.56964364084137742</v>
      </c>
    </row>
    <row r="7" spans="1:10" x14ac:dyDescent="0.45">
      <c r="A7" s="1">
        <v>17.2</v>
      </c>
      <c r="B7">
        <v>19.2</v>
      </c>
      <c r="C7" s="1">
        <f t="shared" si="0"/>
        <v>0.83539599999999625</v>
      </c>
      <c r="D7">
        <f t="shared" si="1"/>
        <v>0.65610000000000368</v>
      </c>
      <c r="F7" t="s">
        <v>18</v>
      </c>
      <c r="G7">
        <f xml:space="preserve"> SQRT(SUM(D:D)/(J3-1))</f>
        <v>0.64531277023515587</v>
      </c>
    </row>
    <row r="8" spans="1:10" x14ac:dyDescent="0.45">
      <c r="A8" s="1">
        <v>17.8</v>
      </c>
      <c r="B8">
        <v>19.5</v>
      </c>
      <c r="C8" s="1">
        <f t="shared" si="0"/>
        <v>9.859599999999781E-2</v>
      </c>
      <c r="D8">
        <f t="shared" si="1"/>
        <v>0.26010000000000161</v>
      </c>
    </row>
    <row r="9" spans="1:10" x14ac:dyDescent="0.45">
      <c r="A9" s="1">
        <v>18.100000000000001</v>
      </c>
      <c r="B9">
        <v>19.100000000000001</v>
      </c>
      <c r="C9" s="1">
        <f t="shared" si="0"/>
        <v>1.9599999999988222E-4</v>
      </c>
      <c r="D9">
        <f t="shared" si="1"/>
        <v>0.82810000000000028</v>
      </c>
      <c r="F9" t="s">
        <v>19</v>
      </c>
      <c r="G9">
        <f xml:space="preserve"> (5/2)/SQRT(3)</f>
        <v>1.4433756729740645</v>
      </c>
    </row>
    <row r="10" spans="1:10" x14ac:dyDescent="0.45">
      <c r="A10" s="1">
        <v>17.5</v>
      </c>
      <c r="B10">
        <v>19.2</v>
      </c>
      <c r="C10" s="1">
        <f t="shared" si="0"/>
        <v>0.37699599999999656</v>
      </c>
      <c r="D10">
        <f t="shared" si="1"/>
        <v>0.65610000000000368</v>
      </c>
      <c r="F10" t="s">
        <v>20</v>
      </c>
      <c r="G10">
        <f>(5/2)/SQRT(3)</f>
        <v>1.4433756729740645</v>
      </c>
    </row>
    <row r="11" spans="1:10" x14ac:dyDescent="0.45">
      <c r="A11" s="1">
        <v>18.100000000000001</v>
      </c>
      <c r="B11">
        <v>19.100000000000001</v>
      </c>
      <c r="C11" s="1">
        <f t="shared" si="0"/>
        <v>1.9599999999988222E-4</v>
      </c>
      <c r="D11">
        <f t="shared" si="1"/>
        <v>0.82810000000000028</v>
      </c>
    </row>
    <row r="12" spans="1:10" x14ac:dyDescent="0.45">
      <c r="A12">
        <v>17.2</v>
      </c>
      <c r="B12">
        <v>20.5</v>
      </c>
      <c r="C12" s="1">
        <f t="shared" si="0"/>
        <v>0.83539599999999625</v>
      </c>
      <c r="D12">
        <f t="shared" si="1"/>
        <v>0.24009999999999848</v>
      </c>
      <c r="F12" t="s">
        <v>21</v>
      </c>
      <c r="G12">
        <f>G6/SQRT(J3)</f>
        <v>8.0559776259746418E-2</v>
      </c>
    </row>
    <row r="13" spans="1:10" x14ac:dyDescent="0.45">
      <c r="A13">
        <v>18.3</v>
      </c>
      <c r="B13">
        <v>20.5</v>
      </c>
      <c r="C13" s="1">
        <f t="shared" si="0"/>
        <v>3.4596000000001299E-2</v>
      </c>
      <c r="D13">
        <f t="shared" si="1"/>
        <v>0.24009999999999848</v>
      </c>
      <c r="F13" t="s">
        <v>22</v>
      </c>
      <c r="G13">
        <f>G7/SQRT(J3)</f>
        <v>9.1261007163911029E-2</v>
      </c>
    </row>
    <row r="14" spans="1:10" x14ac:dyDescent="0.45">
      <c r="A14">
        <v>18.3</v>
      </c>
      <c r="B14">
        <v>20</v>
      </c>
      <c r="C14" s="1">
        <f t="shared" si="0"/>
        <v>3.4596000000001299E-2</v>
      </c>
      <c r="D14">
        <f t="shared" si="1"/>
        <v>1.0000000000003127E-4</v>
      </c>
    </row>
    <row r="15" spans="1:10" x14ac:dyDescent="0.45">
      <c r="A15">
        <v>19</v>
      </c>
      <c r="B15">
        <v>19.8</v>
      </c>
      <c r="C15" s="1">
        <f t="shared" si="0"/>
        <v>0.78499600000000491</v>
      </c>
      <c r="D15">
        <f t="shared" si="1"/>
        <v>4.4100000000000361E-2</v>
      </c>
      <c r="F15" t="s">
        <v>23</v>
      </c>
      <c r="G15">
        <f>SQRT(G9^2 + G12^2)</f>
        <v>1.4456220843928591</v>
      </c>
    </row>
    <row r="16" spans="1:10" x14ac:dyDescent="0.45">
      <c r="A16">
        <v>18.7</v>
      </c>
      <c r="B16">
        <v>20.7</v>
      </c>
      <c r="C16" s="1">
        <f t="shared" si="0"/>
        <v>0.34339600000000242</v>
      </c>
      <c r="D16">
        <f t="shared" si="1"/>
        <v>0.47609999999999686</v>
      </c>
      <c r="F16" t="s">
        <v>24</v>
      </c>
      <c r="G16">
        <f>SQRT(G10^2 + G13^2)</f>
        <v>1.446257897043921</v>
      </c>
    </row>
    <row r="17" spans="1:4" x14ac:dyDescent="0.45">
      <c r="A17">
        <v>17.3</v>
      </c>
      <c r="B17">
        <v>20.9</v>
      </c>
      <c r="C17" s="1">
        <f t="shared" si="0"/>
        <v>0.6625959999999943</v>
      </c>
      <c r="D17">
        <f t="shared" si="1"/>
        <v>0.7920999999999947</v>
      </c>
    </row>
    <row r="18" spans="1:4" x14ac:dyDescent="0.45">
      <c r="A18">
        <v>17.899999999999999</v>
      </c>
      <c r="B18">
        <v>20.5</v>
      </c>
      <c r="C18" s="1">
        <f t="shared" si="0"/>
        <v>4.5795999999999414E-2</v>
      </c>
      <c r="D18">
        <f t="shared" si="1"/>
        <v>0.24009999999999848</v>
      </c>
    </row>
    <row r="19" spans="1:4" x14ac:dyDescent="0.45">
      <c r="A19">
        <v>17.8</v>
      </c>
      <c r="B19">
        <v>20.7</v>
      </c>
      <c r="C19" s="1">
        <f t="shared" si="0"/>
        <v>9.859599999999781E-2</v>
      </c>
      <c r="D19">
        <f t="shared" si="1"/>
        <v>0.47609999999999686</v>
      </c>
    </row>
    <row r="20" spans="1:4" x14ac:dyDescent="0.45">
      <c r="A20">
        <v>18</v>
      </c>
      <c r="B20">
        <v>21</v>
      </c>
      <c r="C20" s="1">
        <f t="shared" si="0"/>
        <v>1.2995999999999366E-2</v>
      </c>
      <c r="D20">
        <f t="shared" si="1"/>
        <v>0.98009999999999686</v>
      </c>
    </row>
    <row r="21" spans="1:4" x14ac:dyDescent="0.45">
      <c r="A21">
        <v>17.7</v>
      </c>
      <c r="B21">
        <v>19.399999999999999</v>
      </c>
      <c r="C21" s="1">
        <f t="shared" si="0"/>
        <v>0.17139599999999827</v>
      </c>
      <c r="D21">
        <f t="shared" si="1"/>
        <v>0.37210000000000365</v>
      </c>
    </row>
    <row r="22" spans="1:4" x14ac:dyDescent="0.45">
      <c r="A22">
        <v>17.899999999999999</v>
      </c>
      <c r="B22">
        <v>19.399999999999999</v>
      </c>
      <c r="C22" s="1">
        <f t="shared" si="0"/>
        <v>4.5795999999999414E-2</v>
      </c>
      <c r="D22">
        <f t="shared" si="1"/>
        <v>0.37210000000000365</v>
      </c>
    </row>
    <row r="23" spans="1:4" x14ac:dyDescent="0.45">
      <c r="A23">
        <v>18.8</v>
      </c>
      <c r="B23">
        <v>20.399999999999999</v>
      </c>
      <c r="C23" s="1">
        <f t="shared" si="0"/>
        <v>0.47059600000000479</v>
      </c>
      <c r="D23">
        <f t="shared" si="1"/>
        <v>0.15209999999999768</v>
      </c>
    </row>
    <row r="24" spans="1:4" x14ac:dyDescent="0.45">
      <c r="A24">
        <v>17.8</v>
      </c>
      <c r="B24">
        <v>19.600000000000001</v>
      </c>
      <c r="C24" s="1">
        <f t="shared" si="0"/>
        <v>9.859599999999781E-2</v>
      </c>
      <c r="D24">
        <f t="shared" si="1"/>
        <v>0.16810000000000011</v>
      </c>
    </row>
    <row r="25" spans="1:4" x14ac:dyDescent="0.45">
      <c r="A25">
        <v>18.899999999999999</v>
      </c>
      <c r="B25">
        <v>19.600000000000001</v>
      </c>
      <c r="C25" s="1">
        <f t="shared" si="0"/>
        <v>0.61779600000000212</v>
      </c>
      <c r="D25">
        <f t="shared" si="1"/>
        <v>0.16810000000000011</v>
      </c>
    </row>
    <row r="26" spans="1:4" x14ac:dyDescent="0.45">
      <c r="A26">
        <v>18.600000000000001</v>
      </c>
      <c r="B26">
        <v>20.100000000000001</v>
      </c>
      <c r="C26" s="1">
        <f t="shared" si="0"/>
        <v>0.2361960000000041</v>
      </c>
      <c r="D26">
        <f t="shared" si="1"/>
        <v>8.0999999999999753E-3</v>
      </c>
    </row>
    <row r="27" spans="1:4" x14ac:dyDescent="0.45">
      <c r="A27">
        <v>18.399999999999999</v>
      </c>
      <c r="B27">
        <v>19.2</v>
      </c>
      <c r="C27" s="1">
        <f t="shared" si="0"/>
        <v>8.1796000000000785E-2</v>
      </c>
      <c r="D27">
        <f t="shared" si="1"/>
        <v>0.65610000000000368</v>
      </c>
    </row>
    <row r="28" spans="1:4" x14ac:dyDescent="0.45">
      <c r="A28">
        <v>18</v>
      </c>
      <c r="B28">
        <v>19.2</v>
      </c>
      <c r="C28" s="1">
        <f t="shared" si="0"/>
        <v>1.2995999999999366E-2</v>
      </c>
      <c r="D28">
        <f t="shared" si="1"/>
        <v>0.65610000000000368</v>
      </c>
    </row>
    <row r="29" spans="1:4" x14ac:dyDescent="0.45">
      <c r="A29">
        <v>17.600000000000001</v>
      </c>
      <c r="B29">
        <v>19.3</v>
      </c>
      <c r="C29" s="1">
        <f t="shared" si="0"/>
        <v>0.26419599999999566</v>
      </c>
      <c r="D29">
        <f t="shared" si="1"/>
        <v>0.50410000000000121</v>
      </c>
    </row>
    <row r="30" spans="1:4" x14ac:dyDescent="0.45">
      <c r="A30">
        <v>17.100000000000001</v>
      </c>
      <c r="B30">
        <v>20.399999999999999</v>
      </c>
      <c r="C30" s="1">
        <f t="shared" si="0"/>
        <v>1.0281959999999915</v>
      </c>
      <c r="D30">
        <f t="shared" si="1"/>
        <v>0.15209999999999768</v>
      </c>
    </row>
    <row r="31" spans="1:4" x14ac:dyDescent="0.45">
      <c r="A31">
        <v>17.8</v>
      </c>
      <c r="B31">
        <v>21</v>
      </c>
      <c r="C31" s="1">
        <f t="shared" si="0"/>
        <v>9.859599999999781E-2</v>
      </c>
      <c r="D31">
        <f t="shared" si="1"/>
        <v>0.98009999999999686</v>
      </c>
    </row>
    <row r="32" spans="1:4" x14ac:dyDescent="0.45">
      <c r="A32">
        <v>18.600000000000001</v>
      </c>
      <c r="B32">
        <v>20.100000000000001</v>
      </c>
      <c r="C32" s="1">
        <f t="shared" si="0"/>
        <v>0.2361960000000041</v>
      </c>
      <c r="D32">
        <f t="shared" si="1"/>
        <v>8.0999999999999753E-3</v>
      </c>
    </row>
    <row r="33" spans="1:4" x14ac:dyDescent="0.45">
      <c r="A33">
        <v>18.600000000000001</v>
      </c>
      <c r="B33">
        <v>20.6</v>
      </c>
      <c r="C33" s="1">
        <f t="shared" si="0"/>
        <v>0.2361960000000041</v>
      </c>
      <c r="D33">
        <f t="shared" si="1"/>
        <v>0.34809999999999985</v>
      </c>
    </row>
    <row r="34" spans="1:4" x14ac:dyDescent="0.45">
      <c r="A34">
        <v>18.3</v>
      </c>
      <c r="B34">
        <v>20.9</v>
      </c>
      <c r="C34" s="1">
        <f t="shared" si="0"/>
        <v>3.4596000000001299E-2</v>
      </c>
      <c r="D34">
        <f t="shared" si="1"/>
        <v>0.7920999999999947</v>
      </c>
    </row>
    <row r="35" spans="1:4" x14ac:dyDescent="0.45">
      <c r="A35">
        <v>17.3</v>
      </c>
      <c r="B35">
        <v>19.600000000000001</v>
      </c>
      <c r="C35" s="1">
        <f t="shared" si="0"/>
        <v>0.6625959999999943</v>
      </c>
      <c r="D35">
        <f t="shared" si="1"/>
        <v>0.16810000000000011</v>
      </c>
    </row>
    <row r="36" spans="1:4" x14ac:dyDescent="0.45">
      <c r="A36">
        <v>19</v>
      </c>
      <c r="B36">
        <v>20.8</v>
      </c>
      <c r="C36" s="1">
        <f t="shared" si="0"/>
        <v>0.78499600000000491</v>
      </c>
      <c r="D36">
        <f t="shared" si="1"/>
        <v>0.62409999999999866</v>
      </c>
    </row>
    <row r="37" spans="1:4" x14ac:dyDescent="0.45">
      <c r="A37">
        <v>19</v>
      </c>
      <c r="B37">
        <v>19.8</v>
      </c>
      <c r="C37" s="1">
        <f t="shared" si="0"/>
        <v>0.78499600000000491</v>
      </c>
      <c r="D37">
        <f t="shared" si="1"/>
        <v>4.4100000000000361E-2</v>
      </c>
    </row>
    <row r="38" spans="1:4" x14ac:dyDescent="0.45">
      <c r="A38">
        <v>18.8</v>
      </c>
      <c r="B38">
        <v>19.7</v>
      </c>
      <c r="C38" s="1">
        <f t="shared" si="0"/>
        <v>0.47059600000000479</v>
      </c>
      <c r="D38">
        <f t="shared" si="1"/>
        <v>9.6100000000001407E-2</v>
      </c>
    </row>
    <row r="39" spans="1:4" x14ac:dyDescent="0.45">
      <c r="A39">
        <v>18</v>
      </c>
      <c r="B39">
        <v>21</v>
      </c>
      <c r="C39" s="1">
        <f t="shared" si="0"/>
        <v>1.2995999999999366E-2</v>
      </c>
      <c r="D39">
        <f t="shared" si="1"/>
        <v>0.98009999999999686</v>
      </c>
    </row>
    <row r="40" spans="1:4" x14ac:dyDescent="0.45">
      <c r="A40">
        <v>17.5</v>
      </c>
      <c r="B40">
        <v>20.399999999999999</v>
      </c>
      <c r="C40" s="1">
        <f t="shared" si="0"/>
        <v>0.37699599999999656</v>
      </c>
      <c r="D40">
        <f t="shared" si="1"/>
        <v>0.15209999999999768</v>
      </c>
    </row>
    <row r="41" spans="1:4" x14ac:dyDescent="0.45">
      <c r="A41">
        <v>18.3</v>
      </c>
      <c r="B41">
        <v>20.5</v>
      </c>
      <c r="C41" s="1">
        <f t="shared" si="0"/>
        <v>3.4596000000001299E-2</v>
      </c>
      <c r="D41">
        <f t="shared" si="1"/>
        <v>0.24009999999999848</v>
      </c>
    </row>
    <row r="42" spans="1:4" x14ac:dyDescent="0.45">
      <c r="A42">
        <v>17.7</v>
      </c>
      <c r="B42">
        <v>20.100000000000001</v>
      </c>
      <c r="C42" s="1">
        <f t="shared" si="0"/>
        <v>0.17139599999999827</v>
      </c>
      <c r="D42">
        <f t="shared" si="1"/>
        <v>8.0999999999999753E-3</v>
      </c>
    </row>
    <row r="43" spans="1:4" x14ac:dyDescent="0.45">
      <c r="A43">
        <v>18.899999999999999</v>
      </c>
      <c r="B43">
        <v>19.5</v>
      </c>
      <c r="C43" s="1">
        <f t="shared" si="0"/>
        <v>0.61779600000000212</v>
      </c>
      <c r="D43">
        <f t="shared" si="1"/>
        <v>0.26010000000000161</v>
      </c>
    </row>
    <row r="44" spans="1:4" x14ac:dyDescent="0.45">
      <c r="A44">
        <v>17.3</v>
      </c>
      <c r="B44">
        <v>20</v>
      </c>
      <c r="C44" s="1">
        <f t="shared" si="0"/>
        <v>0.6625959999999943</v>
      </c>
      <c r="D44">
        <f t="shared" si="1"/>
        <v>1.0000000000003127E-4</v>
      </c>
    </row>
    <row r="45" spans="1:4" x14ac:dyDescent="0.45">
      <c r="A45">
        <v>18.3</v>
      </c>
      <c r="B45">
        <v>20.2</v>
      </c>
      <c r="C45" s="1">
        <f t="shared" si="0"/>
        <v>3.4596000000001299E-2</v>
      </c>
      <c r="D45">
        <f t="shared" si="1"/>
        <v>3.6099999999999133E-2</v>
      </c>
    </row>
    <row r="46" spans="1:4" x14ac:dyDescent="0.45">
      <c r="A46">
        <v>17.7</v>
      </c>
      <c r="B46">
        <v>21</v>
      </c>
      <c r="C46" s="1">
        <f t="shared" si="0"/>
        <v>0.17139599999999827</v>
      </c>
      <c r="D46">
        <f t="shared" si="1"/>
        <v>0.98009999999999686</v>
      </c>
    </row>
    <row r="47" spans="1:4" x14ac:dyDescent="0.45">
      <c r="A47">
        <v>18.7</v>
      </c>
      <c r="B47">
        <v>19.8</v>
      </c>
      <c r="C47" s="1">
        <f t="shared" si="0"/>
        <v>0.34339600000000242</v>
      </c>
      <c r="D47">
        <f t="shared" si="1"/>
        <v>4.4100000000000361E-2</v>
      </c>
    </row>
    <row r="48" spans="1:4" x14ac:dyDescent="0.45">
      <c r="A48">
        <v>18.8</v>
      </c>
      <c r="B48">
        <v>20</v>
      </c>
      <c r="C48" s="1">
        <f t="shared" si="0"/>
        <v>0.47059600000000479</v>
      </c>
      <c r="D48">
        <f t="shared" si="1"/>
        <v>1.0000000000003127E-4</v>
      </c>
    </row>
    <row r="49" spans="1:4" x14ac:dyDescent="0.45">
      <c r="A49">
        <v>18.7</v>
      </c>
      <c r="B49">
        <v>19.2</v>
      </c>
      <c r="C49" s="1">
        <f t="shared" si="0"/>
        <v>0.34339600000000242</v>
      </c>
      <c r="D49">
        <f t="shared" si="1"/>
        <v>0.65610000000000368</v>
      </c>
    </row>
    <row r="50" spans="1:4" x14ac:dyDescent="0.45">
      <c r="A50">
        <v>17.899999999999999</v>
      </c>
      <c r="B50">
        <v>20.6</v>
      </c>
      <c r="C50" s="1">
        <f t="shared" si="0"/>
        <v>4.5795999999999414E-2</v>
      </c>
      <c r="D50">
        <f t="shared" si="1"/>
        <v>0.34809999999999985</v>
      </c>
    </row>
    <row r="51" spans="1:4" x14ac:dyDescent="0.45">
      <c r="A51">
        <v>17.5</v>
      </c>
      <c r="B51">
        <v>20.5</v>
      </c>
      <c r="C51" s="1">
        <f t="shared" si="0"/>
        <v>0.37699599999999656</v>
      </c>
      <c r="D51">
        <f t="shared" si="1"/>
        <v>0.24009999999999848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1"/>
  <sheetViews>
    <sheetView tabSelected="1" workbookViewId="0">
      <selection activeCell="G17" sqref="G17"/>
    </sheetView>
  </sheetViews>
  <sheetFormatPr baseColWidth="10" defaultRowHeight="14.25" x14ac:dyDescent="0.45"/>
  <cols>
    <col min="1" max="1" width="25.6640625" bestFit="1" customWidth="1"/>
    <col min="2" max="2" width="27.1328125" bestFit="1" customWidth="1"/>
    <col min="6" max="6" width="16.06640625" customWidth="1"/>
  </cols>
  <sheetData>
    <row r="1" spans="1:10" x14ac:dyDescent="0.45">
      <c r="A1" t="s">
        <v>0</v>
      </c>
      <c r="B1" t="s">
        <v>1</v>
      </c>
    </row>
    <row r="2" spans="1:10" x14ac:dyDescent="0.45">
      <c r="A2" s="1">
        <v>18.899999999999999</v>
      </c>
      <c r="B2">
        <v>19.600000000000001</v>
      </c>
      <c r="C2" s="1">
        <f>(A2-$G$3)^2</f>
        <v>0.87984399999999119</v>
      </c>
      <c r="D2">
        <f>(B2-$G$4)^2</f>
        <v>0.20976400000000506</v>
      </c>
    </row>
    <row r="3" spans="1:10" x14ac:dyDescent="0.45">
      <c r="A3" s="1">
        <v>18.3</v>
      </c>
      <c r="B3">
        <v>19.7</v>
      </c>
      <c r="C3" s="1">
        <f t="shared" ref="C3:C51" si="0">(A3-$G$3)^2</f>
        <v>0.11424399999999825</v>
      </c>
      <c r="D3">
        <f t="shared" ref="D3:D51" si="1">(B3-$G$4)^2</f>
        <v>0.12816400000000547</v>
      </c>
      <c r="F3" t="s">
        <v>27</v>
      </c>
      <c r="G3">
        <f>AVERAGE(A:A)</f>
        <v>17.962000000000003</v>
      </c>
      <c r="I3" t="s">
        <v>15</v>
      </c>
      <c r="J3">
        <v>50</v>
      </c>
    </row>
    <row r="4" spans="1:10" x14ac:dyDescent="0.45">
      <c r="A4" s="1">
        <v>17.100000000000001</v>
      </c>
      <c r="B4">
        <v>20.9</v>
      </c>
      <c r="C4" s="1">
        <f t="shared" si="0"/>
        <v>0.74304400000000326</v>
      </c>
      <c r="D4">
        <f t="shared" si="1"/>
        <v>0.70896399999998594</v>
      </c>
      <c r="F4" t="s">
        <v>28</v>
      </c>
      <c r="G4">
        <f>AVERAGE(B:B)</f>
        <v>20.058000000000007</v>
      </c>
    </row>
    <row r="5" spans="1:10" x14ac:dyDescent="0.45">
      <c r="A5" s="1">
        <v>17.8</v>
      </c>
      <c r="B5">
        <v>19.100000000000001</v>
      </c>
      <c r="C5" s="1">
        <f t="shared" si="0"/>
        <v>2.624400000000084E-2</v>
      </c>
      <c r="D5">
        <f t="shared" si="1"/>
        <v>0.91776400000001057</v>
      </c>
    </row>
    <row r="6" spans="1:10" x14ac:dyDescent="0.45">
      <c r="A6" s="1">
        <v>18.3</v>
      </c>
      <c r="B6">
        <v>19.600000000000001</v>
      </c>
      <c r="C6" s="1">
        <f t="shared" si="0"/>
        <v>0.11424399999999825</v>
      </c>
      <c r="D6">
        <f t="shared" si="1"/>
        <v>0.20976400000000506</v>
      </c>
      <c r="F6" t="s">
        <v>25</v>
      </c>
      <c r="G6">
        <f xml:space="preserve"> SQRT(SUM(C:C)/(J3-1))</f>
        <v>0.57138928436374603</v>
      </c>
    </row>
    <row r="7" spans="1:10" x14ac:dyDescent="0.45">
      <c r="A7" s="1">
        <v>18.7</v>
      </c>
      <c r="B7">
        <v>20.8</v>
      </c>
      <c r="C7" s="1">
        <f t="shared" si="0"/>
        <v>0.54464399999999413</v>
      </c>
      <c r="D7">
        <f t="shared" si="1"/>
        <v>0.55056399999999073</v>
      </c>
      <c r="F7" t="s">
        <v>18</v>
      </c>
      <c r="G7">
        <f>SQRT(SUM(D:D)/(J3-1))</f>
        <v>0.61148531111898807</v>
      </c>
    </row>
    <row r="8" spans="1:10" x14ac:dyDescent="0.45">
      <c r="A8" s="1">
        <v>17.5</v>
      </c>
      <c r="B8">
        <v>20.100000000000001</v>
      </c>
      <c r="C8" s="1">
        <f t="shared" si="0"/>
        <v>0.21344400000000305</v>
      </c>
      <c r="D8">
        <f t="shared" si="1"/>
        <v>1.7639999999995368E-3</v>
      </c>
    </row>
    <row r="9" spans="1:10" x14ac:dyDescent="0.45">
      <c r="A9" s="1">
        <v>17.8</v>
      </c>
      <c r="B9">
        <v>20.5</v>
      </c>
      <c r="C9" s="1">
        <f t="shared" si="0"/>
        <v>2.624400000000084E-2</v>
      </c>
      <c r="D9">
        <f t="shared" si="1"/>
        <v>0.19536399999999388</v>
      </c>
      <c r="F9" t="s">
        <v>19</v>
      </c>
      <c r="G9">
        <f xml:space="preserve"> (5/2)/SQRT(3)</f>
        <v>1.4433756729740645</v>
      </c>
    </row>
    <row r="10" spans="1:10" x14ac:dyDescent="0.45">
      <c r="A10" s="1">
        <v>18.7</v>
      </c>
      <c r="B10">
        <v>20.3</v>
      </c>
      <c r="C10" s="1">
        <f t="shared" si="0"/>
        <v>0.54464399999999413</v>
      </c>
      <c r="D10">
        <f t="shared" si="1"/>
        <v>5.8563999999996987E-2</v>
      </c>
      <c r="F10" t="s">
        <v>20</v>
      </c>
      <c r="G10">
        <f>(5/2)/SQRT(3)</f>
        <v>1.4433756729740645</v>
      </c>
    </row>
    <row r="11" spans="1:10" x14ac:dyDescent="0.45">
      <c r="A11" s="1">
        <v>17.2</v>
      </c>
      <c r="B11">
        <v>19.5</v>
      </c>
      <c r="C11" s="1">
        <f t="shared" si="0"/>
        <v>0.58064400000000616</v>
      </c>
      <c r="D11">
        <f t="shared" si="1"/>
        <v>0.31136400000000775</v>
      </c>
    </row>
    <row r="12" spans="1:10" x14ac:dyDescent="0.45">
      <c r="A12">
        <v>18.600000000000001</v>
      </c>
      <c r="B12">
        <v>19.8</v>
      </c>
      <c r="C12" s="1">
        <f t="shared" si="0"/>
        <v>0.40704399999999763</v>
      </c>
      <c r="D12">
        <f t="shared" si="1"/>
        <v>6.6564000000003218E-2</v>
      </c>
      <c r="F12" t="s">
        <v>21</v>
      </c>
      <c r="G12">
        <f xml:space="preserve"> G6/SQRT(J3)</f>
        <v>8.0806647534186662E-2</v>
      </c>
    </row>
    <row r="13" spans="1:10" x14ac:dyDescent="0.45">
      <c r="A13">
        <v>17.100000000000001</v>
      </c>
      <c r="B13">
        <v>20</v>
      </c>
      <c r="C13" s="1">
        <f t="shared" si="0"/>
        <v>0.74304400000000326</v>
      </c>
      <c r="D13">
        <f t="shared" si="1"/>
        <v>3.3640000000008043E-3</v>
      </c>
      <c r="F13" t="s">
        <v>22</v>
      </c>
      <c r="G13">
        <f xml:space="preserve"> G7/SQRT(J3)</f>
        <v>8.6477082017640441E-2</v>
      </c>
    </row>
    <row r="14" spans="1:10" x14ac:dyDescent="0.45">
      <c r="A14">
        <v>17.2</v>
      </c>
      <c r="B14">
        <v>20.5</v>
      </c>
      <c r="C14" s="1">
        <f t="shared" si="0"/>
        <v>0.58064400000000616</v>
      </c>
      <c r="D14">
        <f t="shared" si="1"/>
        <v>0.19536399999999388</v>
      </c>
    </row>
    <row r="15" spans="1:10" x14ac:dyDescent="0.45">
      <c r="A15">
        <v>17.399999999999999</v>
      </c>
      <c r="B15">
        <v>19.399999999999999</v>
      </c>
      <c r="C15" s="1">
        <f t="shared" si="0"/>
        <v>0.31584400000000529</v>
      </c>
      <c r="D15">
        <f t="shared" si="1"/>
        <v>0.43296400000001101</v>
      </c>
      <c r="F15" t="s">
        <v>23</v>
      </c>
      <c r="G15">
        <f xml:space="preserve"> SQRT(G9^2 + G12^2)</f>
        <v>1.445635862732745</v>
      </c>
    </row>
    <row r="16" spans="1:10" x14ac:dyDescent="0.45">
      <c r="A16">
        <v>17.3</v>
      </c>
      <c r="B16">
        <v>19.100000000000001</v>
      </c>
      <c r="C16" s="1">
        <f t="shared" si="0"/>
        <v>0.43824400000000341</v>
      </c>
      <c r="D16">
        <f t="shared" si="1"/>
        <v>0.91776400000001057</v>
      </c>
      <c r="F16" t="s">
        <v>24</v>
      </c>
      <c r="G16">
        <f xml:space="preserve"> SQRT(G10^2 +G13^2)</f>
        <v>1.4459639065507894</v>
      </c>
    </row>
    <row r="17" spans="1:4" x14ac:dyDescent="0.45">
      <c r="A17">
        <v>17.5</v>
      </c>
      <c r="B17">
        <v>19.7</v>
      </c>
      <c r="C17" s="1">
        <f t="shared" si="0"/>
        <v>0.21344400000000305</v>
      </c>
      <c r="D17">
        <f t="shared" si="1"/>
        <v>0.12816400000000547</v>
      </c>
    </row>
    <row r="18" spans="1:4" x14ac:dyDescent="0.45">
      <c r="A18">
        <v>18</v>
      </c>
      <c r="B18">
        <v>20.7</v>
      </c>
      <c r="C18" s="1">
        <f t="shared" si="0"/>
        <v>1.4439999999997495E-3</v>
      </c>
      <c r="D18">
        <f t="shared" si="1"/>
        <v>0.4121639999999902</v>
      </c>
    </row>
    <row r="19" spans="1:4" x14ac:dyDescent="0.45">
      <c r="A19">
        <v>18.5</v>
      </c>
      <c r="B19">
        <v>19.2</v>
      </c>
      <c r="C19" s="1">
        <f t="shared" si="0"/>
        <v>0.28944399999999643</v>
      </c>
      <c r="D19">
        <f t="shared" si="1"/>
        <v>0.73616400000001314</v>
      </c>
    </row>
    <row r="20" spans="1:4" x14ac:dyDescent="0.45">
      <c r="A20">
        <v>17.7</v>
      </c>
      <c r="B20">
        <v>21</v>
      </c>
      <c r="C20" s="1">
        <f t="shared" si="0"/>
        <v>6.8644000000002106E-2</v>
      </c>
      <c r="D20">
        <f t="shared" si="1"/>
        <v>0.88736399999998694</v>
      </c>
    </row>
    <row r="21" spans="1:4" x14ac:dyDescent="0.45">
      <c r="A21">
        <v>17.899999999999999</v>
      </c>
      <c r="B21">
        <v>20.8</v>
      </c>
      <c r="C21" s="1">
        <f t="shared" si="0"/>
        <v>3.8440000000005852E-3</v>
      </c>
      <c r="D21">
        <f t="shared" si="1"/>
        <v>0.55056399999999073</v>
      </c>
    </row>
    <row r="22" spans="1:4" x14ac:dyDescent="0.45">
      <c r="A22">
        <v>17.899999999999999</v>
      </c>
      <c r="B22">
        <v>19.399999999999999</v>
      </c>
      <c r="C22" s="1">
        <f t="shared" si="0"/>
        <v>3.8440000000005852E-3</v>
      </c>
      <c r="D22">
        <f t="shared" si="1"/>
        <v>0.43296400000001101</v>
      </c>
    </row>
    <row r="23" spans="1:4" x14ac:dyDescent="0.45">
      <c r="A23">
        <v>17.899999999999999</v>
      </c>
      <c r="B23">
        <v>20.3</v>
      </c>
      <c r="C23" s="1">
        <f t="shared" si="0"/>
        <v>3.8440000000005852E-3</v>
      </c>
      <c r="D23">
        <f t="shared" si="1"/>
        <v>5.8563999999996987E-2</v>
      </c>
    </row>
    <row r="24" spans="1:4" x14ac:dyDescent="0.45">
      <c r="A24">
        <v>17.5</v>
      </c>
      <c r="B24">
        <v>20.2</v>
      </c>
      <c r="C24" s="1">
        <f t="shared" si="0"/>
        <v>0.21344400000000305</v>
      </c>
      <c r="D24">
        <f t="shared" si="1"/>
        <v>2.0163999999997829E-2</v>
      </c>
    </row>
    <row r="25" spans="1:4" x14ac:dyDescent="0.45">
      <c r="A25">
        <v>18</v>
      </c>
      <c r="B25">
        <v>20.5</v>
      </c>
      <c r="C25" s="1">
        <f t="shared" si="0"/>
        <v>1.4439999999997495E-3</v>
      </c>
      <c r="D25">
        <f t="shared" si="1"/>
        <v>0.19536399999999388</v>
      </c>
    </row>
    <row r="26" spans="1:4" x14ac:dyDescent="0.45">
      <c r="A26">
        <v>17.8</v>
      </c>
      <c r="B26">
        <v>19.100000000000001</v>
      </c>
      <c r="C26" s="1">
        <f t="shared" si="0"/>
        <v>2.624400000000084E-2</v>
      </c>
      <c r="D26">
        <f t="shared" si="1"/>
        <v>0.91776400000001057</v>
      </c>
    </row>
    <row r="27" spans="1:4" x14ac:dyDescent="0.45">
      <c r="A27">
        <v>17.100000000000001</v>
      </c>
      <c r="B27">
        <v>20.8</v>
      </c>
      <c r="C27" s="1">
        <f t="shared" si="0"/>
        <v>0.74304400000000326</v>
      </c>
      <c r="D27">
        <f t="shared" si="1"/>
        <v>0.55056399999999073</v>
      </c>
    </row>
    <row r="28" spans="1:4" x14ac:dyDescent="0.45">
      <c r="A28">
        <v>17.100000000000001</v>
      </c>
      <c r="B28">
        <v>20.6</v>
      </c>
      <c r="C28" s="1">
        <f t="shared" si="0"/>
        <v>0.74304400000000326</v>
      </c>
      <c r="D28">
        <f t="shared" si="1"/>
        <v>0.29376399999999403</v>
      </c>
    </row>
    <row r="29" spans="1:4" x14ac:dyDescent="0.45">
      <c r="A29">
        <v>18.7</v>
      </c>
      <c r="B29">
        <v>20.100000000000001</v>
      </c>
      <c r="C29" s="1">
        <f t="shared" si="0"/>
        <v>0.54464399999999413</v>
      </c>
      <c r="D29">
        <f t="shared" si="1"/>
        <v>1.7639999999995368E-3</v>
      </c>
    </row>
    <row r="30" spans="1:4" x14ac:dyDescent="0.45">
      <c r="A30">
        <v>18</v>
      </c>
      <c r="B30">
        <v>20.399999999999999</v>
      </c>
      <c r="C30" s="1">
        <f t="shared" si="0"/>
        <v>1.4439999999997495E-3</v>
      </c>
      <c r="D30">
        <f t="shared" si="1"/>
        <v>0.11696399999999428</v>
      </c>
    </row>
    <row r="31" spans="1:4" x14ac:dyDescent="0.45">
      <c r="A31">
        <v>17.7</v>
      </c>
      <c r="B31">
        <v>21</v>
      </c>
      <c r="C31" s="1">
        <f t="shared" si="0"/>
        <v>6.8644000000002106E-2</v>
      </c>
      <c r="D31">
        <f t="shared" si="1"/>
        <v>0.88736399999998694</v>
      </c>
    </row>
    <row r="32" spans="1:4" x14ac:dyDescent="0.45">
      <c r="A32">
        <v>17.100000000000001</v>
      </c>
      <c r="B32">
        <v>19.2</v>
      </c>
      <c r="C32" s="1">
        <f t="shared" si="0"/>
        <v>0.74304400000000326</v>
      </c>
      <c r="D32">
        <f t="shared" si="1"/>
        <v>0.73616400000001314</v>
      </c>
    </row>
    <row r="33" spans="1:4" x14ac:dyDescent="0.45">
      <c r="A33">
        <v>17.600000000000001</v>
      </c>
      <c r="B33">
        <v>20.7</v>
      </c>
      <c r="C33" s="1">
        <f t="shared" si="0"/>
        <v>0.13104400000000135</v>
      </c>
      <c r="D33">
        <f t="shared" si="1"/>
        <v>0.4121639999999902</v>
      </c>
    </row>
    <row r="34" spans="1:4" x14ac:dyDescent="0.45">
      <c r="A34">
        <v>17.600000000000001</v>
      </c>
      <c r="B34">
        <v>20.100000000000001</v>
      </c>
      <c r="C34" s="1">
        <f t="shared" si="0"/>
        <v>0.13104400000000135</v>
      </c>
      <c r="D34">
        <f t="shared" si="1"/>
        <v>1.7639999999995368E-3</v>
      </c>
    </row>
    <row r="35" spans="1:4" x14ac:dyDescent="0.45">
      <c r="A35">
        <v>17.899999999999999</v>
      </c>
      <c r="B35">
        <v>19.5</v>
      </c>
      <c r="C35" s="1">
        <f t="shared" si="0"/>
        <v>3.8440000000005852E-3</v>
      </c>
      <c r="D35">
        <f t="shared" si="1"/>
        <v>0.31136400000000775</v>
      </c>
    </row>
    <row r="36" spans="1:4" x14ac:dyDescent="0.45">
      <c r="A36">
        <v>17.600000000000001</v>
      </c>
      <c r="B36">
        <v>20.6</v>
      </c>
      <c r="C36" s="1">
        <f t="shared" si="0"/>
        <v>0.13104400000000135</v>
      </c>
      <c r="D36">
        <f t="shared" si="1"/>
        <v>0.29376399999999403</v>
      </c>
    </row>
    <row r="37" spans="1:4" x14ac:dyDescent="0.45">
      <c r="A37">
        <v>18.8</v>
      </c>
      <c r="B37">
        <v>20.7</v>
      </c>
      <c r="C37" s="1">
        <f t="shared" si="0"/>
        <v>0.70224399999999565</v>
      </c>
      <c r="D37">
        <f t="shared" si="1"/>
        <v>0.4121639999999902</v>
      </c>
    </row>
    <row r="38" spans="1:4" x14ac:dyDescent="0.45">
      <c r="A38">
        <v>17.899999999999999</v>
      </c>
      <c r="B38">
        <v>20.8</v>
      </c>
      <c r="C38" s="1">
        <f t="shared" si="0"/>
        <v>3.8440000000005852E-3</v>
      </c>
      <c r="D38">
        <f t="shared" si="1"/>
        <v>0.55056399999999073</v>
      </c>
    </row>
    <row r="39" spans="1:4" x14ac:dyDescent="0.45">
      <c r="A39">
        <v>18.600000000000001</v>
      </c>
      <c r="B39">
        <v>20.8</v>
      </c>
      <c r="C39" s="1">
        <f t="shared" si="0"/>
        <v>0.40704399999999763</v>
      </c>
      <c r="D39">
        <f t="shared" si="1"/>
        <v>0.55056399999999073</v>
      </c>
    </row>
    <row r="40" spans="1:4" x14ac:dyDescent="0.45">
      <c r="A40">
        <v>18.399999999999999</v>
      </c>
      <c r="B40">
        <v>19.7</v>
      </c>
      <c r="C40" s="1">
        <f t="shared" si="0"/>
        <v>0.19184399999999588</v>
      </c>
      <c r="D40">
        <f t="shared" si="1"/>
        <v>0.12816400000000547</v>
      </c>
    </row>
    <row r="41" spans="1:4" x14ac:dyDescent="0.45">
      <c r="A41">
        <v>18.2</v>
      </c>
      <c r="B41">
        <v>19.5</v>
      </c>
      <c r="C41" s="1">
        <f t="shared" si="0"/>
        <v>5.6643999999998092E-2</v>
      </c>
      <c r="D41">
        <f t="shared" si="1"/>
        <v>0.31136400000000775</v>
      </c>
    </row>
    <row r="42" spans="1:4" x14ac:dyDescent="0.45">
      <c r="A42">
        <v>17.600000000000001</v>
      </c>
      <c r="B42">
        <v>19.2</v>
      </c>
      <c r="C42" s="1">
        <f t="shared" si="0"/>
        <v>0.13104400000000135</v>
      </c>
      <c r="D42">
        <f t="shared" si="1"/>
        <v>0.73616400000001314</v>
      </c>
    </row>
    <row r="43" spans="1:4" x14ac:dyDescent="0.45">
      <c r="A43">
        <v>17.399999999999999</v>
      </c>
      <c r="B43">
        <v>20.399999999999999</v>
      </c>
      <c r="C43" s="1">
        <f t="shared" si="0"/>
        <v>0.31584400000000529</v>
      </c>
      <c r="D43">
        <f t="shared" si="1"/>
        <v>0.11696399999999428</v>
      </c>
    </row>
    <row r="44" spans="1:4" x14ac:dyDescent="0.45">
      <c r="A44">
        <v>18.7</v>
      </c>
      <c r="B44">
        <v>19.600000000000001</v>
      </c>
      <c r="C44" s="1">
        <f t="shared" si="0"/>
        <v>0.54464399999999413</v>
      </c>
      <c r="D44">
        <f t="shared" si="1"/>
        <v>0.20976400000000506</v>
      </c>
    </row>
    <row r="45" spans="1:4" x14ac:dyDescent="0.45">
      <c r="A45">
        <v>17.600000000000001</v>
      </c>
      <c r="B45">
        <v>20.2</v>
      </c>
      <c r="C45" s="1">
        <f t="shared" si="0"/>
        <v>0.13104400000000135</v>
      </c>
      <c r="D45">
        <f t="shared" si="1"/>
        <v>2.0163999999997829E-2</v>
      </c>
    </row>
    <row r="46" spans="1:4" x14ac:dyDescent="0.45">
      <c r="A46">
        <v>19</v>
      </c>
      <c r="B46">
        <v>20.8</v>
      </c>
      <c r="C46" s="1">
        <f t="shared" si="0"/>
        <v>1.0774439999999932</v>
      </c>
      <c r="D46">
        <f t="shared" si="1"/>
        <v>0.55056399999999073</v>
      </c>
    </row>
    <row r="47" spans="1:4" x14ac:dyDescent="0.45">
      <c r="A47">
        <v>18.899999999999999</v>
      </c>
      <c r="B47">
        <v>19.399999999999999</v>
      </c>
      <c r="C47" s="1">
        <f t="shared" si="0"/>
        <v>0.87984399999999119</v>
      </c>
      <c r="D47">
        <f t="shared" si="1"/>
        <v>0.43296400000001101</v>
      </c>
    </row>
    <row r="48" spans="1:4" x14ac:dyDescent="0.45">
      <c r="A48">
        <v>18.5</v>
      </c>
      <c r="B48">
        <v>19.600000000000001</v>
      </c>
      <c r="C48" s="1">
        <f t="shared" si="0"/>
        <v>0.28944399999999643</v>
      </c>
      <c r="D48">
        <f t="shared" si="1"/>
        <v>0.20976400000000506</v>
      </c>
    </row>
    <row r="49" spans="1:4" x14ac:dyDescent="0.45">
      <c r="A49">
        <v>18.399999999999999</v>
      </c>
      <c r="B49">
        <v>20.6</v>
      </c>
      <c r="C49" s="1">
        <f t="shared" si="0"/>
        <v>0.19184399999999588</v>
      </c>
      <c r="D49">
        <f t="shared" si="1"/>
        <v>0.29376399999999403</v>
      </c>
    </row>
    <row r="50" spans="1:4" x14ac:dyDescent="0.45">
      <c r="A50">
        <v>18.399999999999999</v>
      </c>
      <c r="B50">
        <v>19.600000000000001</v>
      </c>
      <c r="C50" s="1">
        <f t="shared" si="0"/>
        <v>0.19184399999999588</v>
      </c>
      <c r="D50">
        <f t="shared" si="1"/>
        <v>0.20976400000000506</v>
      </c>
    </row>
    <row r="51" spans="1:4" x14ac:dyDescent="0.45">
      <c r="A51">
        <v>18.7</v>
      </c>
      <c r="B51">
        <v>19.2</v>
      </c>
      <c r="C51" s="1">
        <f t="shared" si="0"/>
        <v>0.54464399999999413</v>
      </c>
      <c r="D51">
        <f t="shared" si="1"/>
        <v>0.73616400000001314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5D4A08E322164388F4777DB7CD9E1A" ma:contentTypeVersion="12" ma:contentTypeDescription="Crée un document." ma:contentTypeScope="" ma:versionID="59812f418904e478796d312f2f311f45">
  <xsd:schema xmlns:xsd="http://www.w3.org/2001/XMLSchema" xmlns:xs="http://www.w3.org/2001/XMLSchema" xmlns:p="http://schemas.microsoft.com/office/2006/metadata/properties" xmlns:ns2="fc5df23e-0755-418f-a77a-3d03abb2ad09" xmlns:ns3="d1427636-3589-43fa-b64f-88d6f9c2fe9d" targetNamespace="http://schemas.microsoft.com/office/2006/metadata/properties" ma:root="true" ma:fieldsID="90aeeac0c452457b408c6b8340354f25" ns2:_="" ns3:_="">
    <xsd:import namespace="fc5df23e-0755-418f-a77a-3d03abb2ad09"/>
    <xsd:import namespace="d1427636-3589-43fa-b64f-88d6f9c2f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5df23e-0755-418f-a77a-3d03abb2ad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aa141cfe-7933-482d-bbb8-97c86f16e5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427636-3589-43fa-b64f-88d6f9c2fe9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84895a3-7914-4ebb-87e4-5700b9108e8b}" ma:internalName="TaxCatchAll" ma:showField="CatchAllData" ma:web="d1427636-3589-43fa-b64f-88d6f9c2f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427636-3589-43fa-b64f-88d6f9c2fe9d" xsi:nil="true"/>
    <lcf76f155ced4ddcb4097134ff3c332f xmlns="fc5df23e-0755-418f-a77a-3d03abb2ad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D8FDAC-AE51-4652-B989-E7F60D66AD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6A6CE8-E54D-49DB-9CE1-A226888778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5df23e-0755-418f-a77a-3d03abb2ad09"/>
    <ds:schemaRef ds:uri="d1427636-3589-43fa-b64f-88d6f9c2fe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9761E0-0A21-4A5E-964F-81A1BE564FD2}">
  <ds:schemaRefs>
    <ds:schemaRef ds:uri="http://purl.org/dc/elements/1.1/"/>
    <ds:schemaRef ds:uri="http://purl.org/dc/dcmitype/"/>
    <ds:schemaRef ds:uri="http://schemas.openxmlformats.org/package/2006/metadata/core-properties"/>
    <ds:schemaRef ds:uri="fc5df23e-0755-418f-a77a-3d03abb2ad09"/>
    <ds:schemaRef ds:uri="http://schemas.microsoft.com/office/2006/documentManagement/types"/>
    <ds:schemaRef ds:uri="http://purl.org/dc/terms/"/>
    <ds:schemaRef ds:uri="http://schemas.microsoft.com/office/2006/metadata/properties"/>
    <ds:schemaRef ds:uri="d1427636-3589-43fa-b64f-88d6f9c2fe9d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Voiture 1</vt:lpstr>
      <vt:lpstr>Voiture 2</vt:lpstr>
      <vt:lpstr>Voiture 3</vt:lpstr>
      <vt:lpstr>Voiture 4</vt:lpstr>
      <vt:lpstr>Voiture 5</vt:lpstr>
      <vt:lpstr>Voiture 6</vt:lpstr>
    </vt:vector>
  </TitlesOfParts>
  <Company>cesi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DALMAU Laurie</dc:creator>
  <cp:lastModifiedBy>COTTALORDA JULIAN</cp:lastModifiedBy>
  <dcterms:created xsi:type="dcterms:W3CDTF">2023-05-12T14:02:36Z</dcterms:created>
  <dcterms:modified xsi:type="dcterms:W3CDTF">2024-12-19T20:11:59Z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0x010100655D4A08E322164388F4777DB7CD9E1A</vt:lpwstr>
  </property>
  <property fmtid="{D5CDD505-2E9C-101B-9397-08002B2CF9AE}" pid="3" name="MediaServiceImageTags">
    <vt:lpwstr/>
  </property>
</Properties>
</file>